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ebe957f72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Cases" sheetId="1" r:id="R41818e7a05044f5c"/>
    <x:sheet xmlns:r="http://schemas.openxmlformats.org/officeDocument/2006/relationships" name="Curve Targets" sheetId="2" r:id="R830f443bfcc5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"/>
    <x:numFmt numFmtId="202" formatCode="#,##0.000000"/>
    <x:numFmt numFmtId="203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243B53"/>
      <x:name val="Carlito"/>
    </x:font>
    <x:font>
      <x:b/>
      <x:sz val="11"/>
      <x:color rgb="FFFFFFFF"/>
      <x:name val="Carlito"/>
    </x:font>
    <x:font>
      <x:b/>
      <x:sz val="11"/>
      <x:color rgb="FF064E3B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6F0FA"/>
      </x:patternFill>
    </x:fill>
    <x:fill>
      <x:patternFill patternType="solid">
        <x:fgColor rgb="FFF7FAFC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2">
    <x:border/>
    <x:border>
      <x:left style="thin">
        <x:color rgb="FFBCCCDC"/>
      </x:left>
      <x:top style="thin">
        <x:color rgb="FFBCCCDC"/>
      </x:top>
    </x:border>
    <x:border>
      <x:top style="thin">
        <x:color rgb="FFBCCCDC"/>
      </x:top>
    </x:border>
    <x:border>
      <x:right style="thin">
        <x:color rgb="FFBCCCDC"/>
      </x:right>
      <x:top style="thin">
        <x:color rgb="FFBCCCDC"/>
      </x:top>
    </x:border>
    <x:border>
      <x:left style="thin">
        <x:color rgb="FFBCCCDC"/>
      </x:left>
      <x:bottom style="thin">
        <x:color rgb="FFBCCCDC"/>
      </x:bottom>
    </x:border>
    <x:border>
      <x:bottom style="thin">
        <x:color rgb="FFBCCCDC"/>
      </x:bottom>
    </x:border>
    <x:border>
      <x:right style="thin">
        <x:color rgb="FFBCCCDC"/>
      </x:right>
      <x:bottom style="thin">
        <x:color rgb="FFBCCCDC"/>
      </x:bottom>
    </x:border>
    <x:border>
      <x:left style="thin">
        <x:color rgb="FFBCCCDC"/>
      </x:left>
    </x:border>
    <x:border>
      <x:right style="thin">
        <x:color rgb="FFBCCCDC"/>
      </x:righ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2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6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1" xfId="0" applyNumberFormat="1" applyFont="1" applyFill="1" applyBorder="1"/>
    <x:xf numFmtId="201" fontId="3" fillId="5" borderId="0" xfId="0" applyNumberFormat="1" applyFont="1" applyFill="1" applyBorder="1" applyAlignment="1">
      <x:alignment wrapText="1"/>
    </x:xf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2" fontId="0" fillId="4" borderId="1" xfId="0" applyNumberFormat="1" applyFont="1" applyFill="1" applyBorder="1"/>
    <x:xf numFmtId="202" fontId="0" fillId="4" borderId="2" xfId="0" applyNumberFormat="1" applyFont="1" applyFill="1" applyBorder="1"/>
    <x:xf numFmtId="202" fontId="0" fillId="4" borderId="3" xfId="0" applyNumberFormat="1" applyFont="1" applyFill="1" applyBorder="1"/>
    <x:xf numFmtId="202" fontId="0" fillId="4" borderId="7" xfId="0" applyNumberFormat="1" applyFont="1" applyFill="1" applyBorder="1"/>
    <x:xf numFmtId="202" fontId="0" fillId="4" borderId="0" xfId="0" applyNumberFormat="1" applyFont="1" applyFill="1" applyBorder="1"/>
    <x:xf numFmtId="202" fontId="0" fillId="4" borderId="8" xfId="0" applyNumberFormat="1" applyFont="1" applyFill="1" applyBorder="1"/>
    <x:xf numFmtId="202" fontId="0" fillId="4" borderId="4" xfId="0" applyNumberFormat="1" applyFont="1" applyFill="1" applyBorder="1"/>
    <x:xf numFmtId="202" fontId="0" fillId="4" borderId="5" xfId="0" applyNumberFormat="1" applyFont="1" applyFill="1" applyBorder="1"/>
    <x:xf numFmtId="202" fontId="0" fillId="4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0" xfId="0" applyNumberFormat="1" applyFont="1" applyFill="1" applyBorder="1"/>
    <x:xf numFmtId="203" fontId="0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2b04e71cb48f9" /><Relationship Type="http://schemas.openxmlformats.org/officeDocument/2006/relationships/theme" Target="/xl/theme/theme1.xml" Id="Rf6a9772ea3a3414f" /><Relationship Type="http://schemas.openxmlformats.org/officeDocument/2006/relationships/sharedStrings" Target="/xl/sharedStrings.xml" Id="Rfdc42d145b964e36" /><Relationship Type="http://schemas.openxmlformats.org/officeDocument/2006/relationships/worksheet" Target="/xl/worksheets/sheet1.xml" Id="R41818e7a05044f5c" /><Relationship Type="http://schemas.openxmlformats.org/officeDocument/2006/relationships/worksheet" Target="/xl/worksheets/sheet2.xml" Id="R830f443bfcc541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606a9ec90d4d62" /><Relationship Type="http://schemas.openxmlformats.org/officeDocument/2006/relationships/chart" Target="/xl/drawings/charts/chart2.xml" Id="R7d596b83cec546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Fuel Points Curve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Target Points</c:v>
          </c:tx>
          <c:marker>
            <c:symbol val="none"/>
          </c:marker>
          <c:dLbls/>
          <c:cat>
            <c:strRef>
              <c:f>'Curve Targets'!$A$5:$A$15</c:f>
              <c:strCache>
                <c:ptCount val="0"/>
              </c:strCache>
            </c:strRef>
          </c:cat>
          <c:val>
            <c:numRef>
              <c:f>'Curve Targets'!$B$5:$B$15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Polynomial Points</c:v>
          </c:tx>
          <c:marker>
            <c:symbol val="none"/>
          </c:marker>
          <c:dLbls/>
          <c:cat>
            <c:strRef>
              <c:f>'Curve Targets'!$A$5:$A$15</c:f>
              <c:strCache>
                <c:ptCount val="0"/>
              </c:strCache>
            </c:strRef>
          </c:cat>
          <c:val>
            <c:numRef>
              <c:f>'Curve Targets'!$C$5:$C$15</c:f>
              <c:numCache>
                <c:formatCode>General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20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Time Points Curve (1-14 day targets)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Target Points</c:v>
          </c:tx>
          <c:marker>
            <c:symbol val="none"/>
          </c:marker>
          <c:dLbls/>
          <c:cat>
            <c:strRef>
              <c:f>'Curve Targets'!$J$5:$J$18</c:f>
              <c:strCache>
                <c:ptCount val="0"/>
              </c:strCache>
            </c:strRef>
          </c:cat>
          <c:val>
            <c:numRef>
              <c:f>'Curve Targets'!$K$5:$K$18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Polynomial Points</c:v>
          </c:tx>
          <c:marker>
            <c:symbol val="none"/>
          </c:marker>
          <c:dLbls/>
          <c:cat>
            <c:strRef>
              <c:f>'Curve Targets'!$J$5:$J$18</c:f>
              <c:strCache>
                <c:ptCount val="0"/>
              </c:strCache>
            </c:strRef>
          </c:cat>
          <c:val>
            <c:numRef>
              <c:f>'Curve Targets'!$L$5:$L$18</c:f>
              <c:numCache>
                <c:formatCode>General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5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606a9ec90d4d62"/>
        </a:graphicData>
      </a:graphic>
    </xdr:graphicFrame>
    <xdr:clientData/>
  </xdr:twoCellAnchor>
  <xdr:twoCellAnchor>
    <xdr:from>
      <xdr:col>9</xdr:col>
      <xdr:colOff>0</xdr:colOff>
      <xdr:row>27</xdr:row>
      <xdr:rowOff>0</xdr:rowOff>
    </xdr:from>
    <xdr:to>
      <xdr:col>17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596b83cec546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lynomialScoreCases" displayName="PolynomialScoreCases" ref="A10:H98" headerRowCount="1" totalsRowCount="0" totalsRowShown="0">
  <x:autoFilter ref="A10:H98"/>
  <x:tableColumns count="8">
    <x:tableColumn id="1" name="Case"/>
    <x:tableColumn id="2" name="Fuel Left %"/>
    <x:tableColumn id="3" name="Elapsed Days"/>
    <x:tableColumn id="4" name="Fuel Points"/>
    <x:tableColumn id="5" name="Time Points"/>
    <x:tableColumn id="6" name="Fuel Share"/>
    <x:tableColumn id="7" name="Time Share"/>
    <x:tableColumn id="8" name="Total 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61670ea01e4a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b79a983d8f44c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1.5600004196167" hidden="0" customWidth="1"/>
    <x:col min="3" max="3" width="11.5600004196167" hidden="0" customWidth="1"/>
    <x:col min="4" max="4" width="11.779999732971191" hidden="0" customWidth="1"/>
    <x:col min="5" max="5" width="11.779999732971191" hidden="0" customWidth="1"/>
    <x:col min="6" max="6" width="11.779999732971191" hidden="0" customWidth="1"/>
    <x:col min="7" max="7" width="11.779999732971191" hidden="0" customWidth="1"/>
    <x:col min="8" max="8" width="11.779999732971191" hidden="0" customWidth="1"/>
  </x:cols>
  <x:sheetData>
    <x:row r="1" ht="22.5" customHeight="1">
      <x:c r="A1" s="2" t="str">
        <x:v>Reach Moon Polynomial Score Model</x:v>
      </x:c>
      <x:c r="B1" s="2"/>
      <x:c r="C1" s="2"/>
      <x:c r="D1" s="2"/>
      <x:c r="E1" s="2"/>
      <x:c r="F1" s="2"/>
      <x:c r="G1" s="2"/>
      <x:c r="H1" s="2"/>
    </x:row>
    <x:row r="2" ht="28.5" customHeight="1">
      <x:c r="A2" s="5" t="str">
        <x:v>Total score = fuel polynomial points + time polynomial points. Fuel is the primary component, time is secondary.</x:v>
      </x:c>
      <x:c r="B2" s="5"/>
      <x:c r="C2" s="5"/>
      <x:c r="D2" s="5"/>
      <x:c r="E2" s="5"/>
      <x:c r="F2" s="5"/>
      <x:c r="G2" s="5"/>
      <x:c r="H2" s="5"/>
    </x:row>
    <x:row r="4">
      <x:c r="A4" s="6" t="str">
        <x:v>Model</x:v>
      </x:c>
      <x:c r="B4" s="6" t="str">
        <x:v>Range</x:v>
      </x:c>
      <x:c r="C4" s="6" t="str">
        <x:v>Max Points</x:v>
      </x:c>
      <x:c r="D4" s="6" t="str">
        <x:v>Formula Input</x:v>
      </x:c>
      <x:c r="F4" s="6" t="str">
        <x:v>Tuning note</x:v>
      </x:c>
      <x:c r="G4" s="6"/>
      <x:c r="H4" s="6"/>
    </x:row>
    <x:row r="5">
      <x:c r="A5" s="8" t="str">
        <x:v>Fuel left</x:v>
      </x:c>
      <x:c r="B5" s="9" t="str">
        <x:v>0%-100%</x:v>
      </x:c>
      <x:c r="C5" s="9" t="n">
        <x:v>200</x:v>
      </x:c>
      <x:c r="D5" s="10" t="str">
        <x:v>fuel left ratio, 0 to 1</x:v>
      </x:c>
      <x:c r="F5" s="16" t="str">
        <x:v>Edit coefficients on Curve Targets to reshape the smooth curves.</x:v>
      </x:c>
      <x:c r="G5" s="17"/>
      <x:c r="H5" s="18"/>
    </x:row>
    <x:row r="6">
      <x:c r="A6" s="11" t="str">
        <x:v>Elapsed days</x:v>
      </x:c>
      <x:c r="B6" s="12" t="str">
        <x:v>1+ days</x:v>
      </x:c>
      <x:c r="C6" s="12" t="n">
        <x:v>50</x:v>
      </x:c>
      <x:c r="D6" s="13" t="str">
        <x:v>elapsed days</x:v>
      </x:c>
      <x:c r="F6" s="19" t="str">
        <x:v>Fuel target points follow your draft table. Time targets include 1-14 days, then polynomial continuation.</x:v>
      </x:c>
      <x:c r="G6" s="20"/>
      <x:c r="H6" s="21"/>
    </x:row>
    <x:row r="7">
      <x:c r="F7" s="22" t="str">
        <x:v>The last column is the calculated total score for each time/fuel combination.</x:v>
      </x:c>
      <x:c r="G7" s="23"/>
      <x:c r="H7" s="24"/>
    </x:row>
    <x:row r="10" ht="25.5" customHeight="1">
      <x:c r="A10" s="27" t="str">
        <x:v>Case</x:v>
      </x:c>
      <x:c r="B10" s="27" t="str">
        <x:v>Fuel Left %</x:v>
      </x:c>
      <x:c r="C10" s="27" t="str">
        <x:v>Elapsed Days</x:v>
      </x:c>
      <x:c r="D10" s="27" t="str">
        <x:v>Fuel Points</x:v>
      </x:c>
      <x:c r="E10" s="27" t="str">
        <x:v>Time Points</x:v>
      </x:c>
      <x:c r="F10" s="27" t="str">
        <x:v>Fuel Share</x:v>
      </x:c>
      <x:c r="G10" s="27" t="str">
        <x:v>Time Share</x:v>
      </x:c>
      <x:c r="H10" s="27" t="str">
        <x:v>Total Score</x:v>
      </x:c>
    </x:row>
    <x:row r="11">
      <x:c r="A11" t="str">
        <x:v>Case 1</x:v>
      </x:c>
      <x:c r="B11" s="34" t="n">
        <x:v>0</x:v>
      </x:c>
      <x:c r="C11" s="35" t="n">
        <x:v>1</x:v>
      </x:c>
      <x:c r="D11" s="35" t="n">
        <x:f>MAX(0,MIN('Curve Targets'!$B$2,'Curve Targets'!$G$5+'Curve Targets'!$G$6*B11+'Curve Targets'!$G$7*B11^2+'Curve Targets'!$G$8*B11^3+'Curve Targets'!$G$9*B11^4+'Curve Targets'!$G$10*B11^5+'Curve Targets'!$G$11*B11^6))</x:f>
        <x:v>0</x:v>
      </x:c>
      <x:c r="E11" s="35" t="n">
        <x:f>MAX(0,MIN('Curve Targets'!$K$2,'Curve Targets'!$P$5+'Curve Targets'!$P$6*C11+'Curve Targets'!$P$7*C11^2+'Curve Targets'!$P$8*C11^3+'Curve Targets'!$P$9*C11^4))</x:f>
        <x:v>49.94275300000001</x:v>
      </x:c>
      <x:c r="F11" s="34" t="n">
        <x:f>IF(D11+E11=0,0,D11/(D11+E11))</x:f>
        <x:v>0</x:v>
      </x:c>
      <x:c r="G11" s="34" t="n">
        <x:f>IF(D11+E11=0,0,E11/(D11+E11))</x:f>
        <x:v>1</x:v>
      </x:c>
      <x:c r="H11" s="36" t="n">
        <x:f>ROUND(D11+E11,1)</x:f>
        <x:v>49.9</x:v>
      </x:c>
    </x:row>
    <x:row r="12">
      <x:c r="A12" t="str">
        <x:v>Case 2</x:v>
      </x:c>
      <x:c r="B12" s="34" t="n">
        <x:v>0.1</x:v>
      </x:c>
      <x:c r="C12" s="35" t="n">
        <x:v>1</x:v>
      </x:c>
      <x:c r="D12" s="35" t="n">
        <x:f>MAX(0,MIN('Curve Targets'!$B$2,'Curve Targets'!$G$5+'Curve Targets'!$G$6*B12+'Curve Targets'!$G$7*B12^2+'Curve Targets'!$G$8*B12^3+'Curve Targets'!$G$9*B12^4+'Curve Targets'!$G$10*B12^5+'Curve Targets'!$G$11*B12^6))</x:f>
        <x:v>10.227272730879001</x:v>
      </x:c>
      <x:c r="E12" s="35" t="n">
        <x:f>MAX(0,MIN('Curve Targets'!$K$2,'Curve Targets'!$P$5+'Curve Targets'!$P$6*C12+'Curve Targets'!$P$7*C12^2+'Curve Targets'!$P$8*C12^3+'Curve Targets'!$P$9*C12^4))</x:f>
        <x:v>49.94275300000001</x:v>
      </x:c>
      <x:c r="F12" s="34" t="n">
        <x:f>IF(D12+E12=0,0,D12/(D12+E12))</x:f>
        <x:v>0.16997288278755723</x:v>
      </x:c>
      <x:c r="G12" s="34" t="n">
        <x:f>IF(D12+E12=0,0,E12/(D12+E12))</x:f>
        <x:v>0.8300271172124427</x:v>
      </x:c>
      <x:c r="H12" s="36" t="n">
        <x:f>ROUND(D12+E12,1)</x:f>
        <x:v>60.2</x:v>
      </x:c>
    </x:row>
    <x:row r="13">
      <x:c r="A13" t="str">
        <x:v>Case 3</x:v>
      </x:c>
      <x:c r="B13" s="34" t="n">
        <x:v>0.2</x:v>
      </x:c>
      <x:c r="C13" s="35" t="n">
        <x:v>1</x:v>
      </x:c>
      <x:c r="D13" s="35" t="n">
        <x:f>MAX(0,MIN('Curve Targets'!$B$2,'Curve Targets'!$G$5+'Curve Targets'!$G$6*B13+'Curve Targets'!$G$7*B13^2+'Curve Targets'!$G$8*B13^3+'Curve Targets'!$G$9*B13^4+'Curve Targets'!$G$10*B13^5+'Curve Targets'!$G$11*B13^6))</x:f>
        <x:v>20.05244755905601</x:v>
      </x:c>
      <x:c r="E13" s="35" t="n">
        <x:f>MAX(0,MIN('Curve Targets'!$K$2,'Curve Targets'!$P$5+'Curve Targets'!$P$6*C13+'Curve Targets'!$P$7*C13^2+'Curve Targets'!$P$8*C13^3+'Curve Targets'!$P$9*C13^4))</x:f>
        <x:v>49.94275300000001</x:v>
      </x:c>
      <x:c r="F13" s="34" t="n">
        <x:f>IF(D13+E13=0,0,D13/(D13+E13))</x:f>
        <x:v>0.286483178830775</x:v>
      </x:c>
      <x:c r="G13" s="34" t="n">
        <x:f>IF(D13+E13=0,0,E13/(D13+E13))</x:f>
        <x:v>0.713516821169225</x:v>
      </x:c>
      <x:c r="H13" s="36" t="n">
        <x:f>ROUND(D13+E13,1)</x:f>
        <x:v>70</x:v>
      </x:c>
    </x:row>
    <x:row r="14">
      <x:c r="A14" t="str">
        <x:v>Case 4</x:v>
      </x:c>
      <x:c r="B14" s="34" t="n">
        <x:v>0.3</x:v>
      </x:c>
      <x:c r="C14" s="35" t="n">
        <x:v>1</x:v>
      </x:c>
      <x:c r="D14" s="35" t="n">
        <x:f>MAX(0,MIN('Curve Targets'!$B$2,'Curve Targets'!$G$5+'Curve Targets'!$G$6*B14+'Curve Targets'!$G$7*B14^2+'Curve Targets'!$G$8*B14^3+'Curve Targets'!$G$9*B14^4+'Curve Targets'!$G$10*B14^5+'Curve Targets'!$G$11*B14^6))</x:f>
        <x:v>44.055944052190966</x:v>
      </x:c>
      <x:c r="E14" s="35" t="n">
        <x:f>MAX(0,MIN('Curve Targets'!$K$2,'Curve Targets'!$P$5+'Curve Targets'!$P$6*C14+'Curve Targets'!$P$7*C14^2+'Curve Targets'!$P$8*C14^3+'Curve Targets'!$P$9*C14^4))</x:f>
        <x:v>49.94275300000001</x:v>
      </x:c>
      <x:c r="F14" s="34" t="n">
        <x:f>IF(D14+E14=0,0,D14/(D14+E14))</x:f>
        <x:v>0.46868675241029933</x:v>
      </x:c>
      <x:c r="G14" s="34" t="n">
        <x:f>IF(D14+E14=0,0,E14/(D14+E14))</x:f>
        <x:v>0.5313132475897007</x:v>
      </x:c>
      <x:c r="H14" s="36" t="n">
        <x:f>ROUND(D14+E14,1)</x:f>
        <x:v>94</x:v>
      </x:c>
    </x:row>
    <x:row r="15">
      <x:c r="A15" t="str">
        <x:v>Case 5</x:v>
      </x:c>
      <x:c r="B15" s="34" t="n">
        <x:v>0.4</x:v>
      </x:c>
      <x:c r="C15" s="35" t="n">
        <x:v>1</x:v>
      </x:c>
      <x:c r="D15" s="35" t="n">
        <x:f>MAX(0,MIN('Curve Targets'!$B$2,'Curve Targets'!$G$5+'Curve Targets'!$G$6*B15+'Curve Targets'!$G$7*B15^2+'Curve Targets'!$G$8*B15^3+'Curve Targets'!$G$9*B15^4+'Curve Targets'!$G$10*B15^5+'Curve Targets'!$G$11*B15^6))</x:f>
        <x:v>80.73426568718412</x:v>
      </x:c>
      <x:c r="E15" s="35" t="n">
        <x:f>MAX(0,MIN('Curve Targets'!$K$2,'Curve Targets'!$P$5+'Curve Targets'!$P$6*C15+'Curve Targets'!$P$7*C15^2+'Curve Targets'!$P$8*C15^3+'Curve Targets'!$P$9*C15^4))</x:f>
        <x:v>49.94275300000001</x:v>
      </x:c>
      <x:c r="F15" s="34" t="n">
        <x:f>IF(D15+E15=0,0,D15/(D15+E15))</x:f>
        <x:v>0.6178153320167684</x:v>
      </x:c>
      <x:c r="G15" s="34" t="n">
        <x:f>IF(D15+E15=0,0,E15/(D15+E15))</x:f>
        <x:v>0.38218466798323153</x:v>
      </x:c>
      <x:c r="H15" s="36" t="n">
        <x:f>ROUND(D15+E15,1)</x:f>
        <x:v>130.7</x:v>
      </x:c>
    </x:row>
    <x:row r="16">
      <x:c r="A16" t="str">
        <x:v>Case 6</x:v>
      </x:c>
      <x:c r="B16" s="34" t="n">
        <x:v>0.5</x:v>
      </x:c>
      <x:c r="C16" s="35" t="n">
        <x:v>1</x:v>
      </x:c>
      <x:c r="D16" s="35" t="n">
        <x:f>MAX(0,MIN('Curve Targets'!$B$2,'Curve Targets'!$G$5+'Curve Targets'!$G$6*B16+'Curve Targets'!$G$7*B16^2+'Curve Targets'!$G$8*B16^3+'Curve Targets'!$G$9*B16^4+'Curve Targets'!$G$10*B16^5+'Curve Targets'!$G$11*B16^6))</x:f>
        <x:v>121.46853131437501</x:v>
      </x:c>
      <x:c r="E16" s="35" t="n">
        <x:f>MAX(0,MIN('Curve Targets'!$K$2,'Curve Targets'!$P$5+'Curve Targets'!$P$6*C16+'Curve Targets'!$P$7*C16^2+'Curve Targets'!$P$8*C16^3+'Curve Targets'!$P$9*C16^4))</x:f>
        <x:v>49.94275300000001</x:v>
      </x:c>
      <x:c r="F16" s="34" t="n">
        <x:f>IF(D16+E16=0,0,D16/(D16+E16))</x:f>
        <x:v>0.7086378927748826</x:v>
      </x:c>
      <x:c r="G16" s="34" t="n">
        <x:f>IF(D16+E16=0,0,E16/(D16+E16))</x:f>
        <x:v>0.29136210722511735</x:v>
      </x:c>
      <x:c r="H16" s="36" t="n">
        <x:f>ROUND(D16+E16,1)</x:f>
        <x:v>171.4</x:v>
      </x:c>
    </x:row>
    <x:row r="17">
      <x:c r="A17" t="str">
        <x:v>Case 7</x:v>
      </x:c>
      <x:c r="B17" s="34" t="n">
        <x:v>0.6</x:v>
      </x:c>
      <x:c r="C17" s="35" t="n">
        <x:v>1</x:v>
      </x:c>
      <x:c r="D17" s="35" t="n">
        <x:f>MAX(0,MIN('Curve Targets'!$B$2,'Curve Targets'!$G$5+'Curve Targets'!$G$6*B17+'Curve Targets'!$G$7*B17^2+'Curve Targets'!$G$8*B17^3+'Curve Targets'!$G$9*B17^4+'Curve Targets'!$G$10*B17^5+'Curve Targets'!$G$11*B17^6))</x:f>
        <x:v>157.06293669262354</x:v>
      </x:c>
      <x:c r="E17" s="35" t="n">
        <x:f>MAX(0,MIN('Curve Targets'!$K$2,'Curve Targets'!$P$5+'Curve Targets'!$P$6*C17+'Curve Targets'!$P$7*C17^2+'Curve Targets'!$P$8*C17^3+'Curve Targets'!$P$9*C17^4))</x:f>
        <x:v>49.94275300000001</x:v>
      </x:c>
      <x:c r="F17" s="34" t="n">
        <x:f>IF(D17+E17=0,0,D17/(D17+E17))</x:f>
        <x:v>0.758737293288129</x:v>
      </x:c>
      <x:c r="G17" s="34" t="n">
        <x:f>IF(D17+E17=0,0,E17/(D17+E17))</x:f>
        <x:v>0.241262706711871</x:v>
      </x:c>
      <x:c r="H17" s="36" t="n">
        <x:f>ROUND(D17+E17,1)</x:f>
        <x:v>207</x:v>
      </x:c>
    </x:row>
    <x:row r="18">
      <x:c r="A18" t="str">
        <x:v>Case 8</x:v>
      </x:c>
      <x:c r="B18" s="34" t="n">
        <x:v>0.7</x:v>
      </x:c>
      <x:c r="C18" s="35" t="n">
        <x:v>1</x:v>
      </x:c>
      <x:c r="D18" s="35" t="n">
        <x:f>MAX(0,MIN('Curve Targets'!$B$2,'Curve Targets'!$G$5+'Curve Targets'!$G$6*B18+'Curve Targets'!$G$7*B18^2+'Curve Targets'!$G$8*B18^3+'Curve Targets'!$G$9*B18^4+'Curve Targets'!$G$10*B18^5+'Curve Targets'!$G$11*B18^6))</x:f>
        <x:v>181.78321602527052</x:v>
      </x:c>
      <x:c r="E18" s="35" t="n">
        <x:f>MAX(0,MIN('Curve Targets'!$K$2,'Curve Targets'!$P$5+'Curve Targets'!$P$6*C18+'Curve Targets'!$P$7*C18^2+'Curve Targets'!$P$8*C18^3+'Curve Targets'!$P$9*C18^4))</x:f>
        <x:v>49.94275300000001</x:v>
      </x:c>
      <x:c r="F18" s="34" t="n">
        <x:f>IF(D18+E18=0,0,D18/(D18+E18))</x:f>
        <x:v>0.78447494163007</x:v>
      </x:c>
      <x:c r="G18" s="34" t="n">
        <x:f>IF(D18+E18=0,0,E18/(D18+E18))</x:f>
        <x:v>0.21552505836992994</x:v>
      </x:c>
      <x:c r="H18" s="36" t="n">
        <x:f>ROUND(D18+E18,1)</x:f>
        <x:v>231.7</x:v>
      </x:c>
    </x:row>
    <x:row r="19">
      <x:c r="A19" t="str">
        <x:v>Case 9</x:v>
      </x:c>
      <x:c r="B19" s="34" t="n">
        <x:v>0.8</x:v>
      </x:c>
      <x:c r="C19" s="35" t="n">
        <x:v>1</x:v>
      </x:c>
      <x:c r="D19" s="35" t="n">
        <x:f>MAX(0,MIN('Curve Targets'!$B$2,'Curve Targets'!$G$5+'Curve Targets'!$G$6*B19+'Curve Targets'!$G$7*B19^2+'Curve Targets'!$G$8*B19^3+'Curve Targets'!$G$9*B19^4+'Curve Targets'!$G$10*B19^5+'Curve Targets'!$G$11*B19^6))</x:f>
        <x:v>194.8951034969765</x:v>
      </x:c>
      <x:c r="E19" s="35" t="n">
        <x:f>MAX(0,MIN('Curve Targets'!$K$2,'Curve Targets'!$P$5+'Curve Targets'!$P$6*C19+'Curve Targets'!$P$7*C19^2+'Curve Targets'!$P$8*C19^3+'Curve Targets'!$P$9*C19^4))</x:f>
        <x:v>49.94275300000001</x:v>
      </x:c>
      <x:c r="F19" s="34" t="n">
        <x:f>IF(D19+E19=0,0,D19/(D19+E19))</x:f>
        <x:v>0.7960170305582758</x:v>
      </x:c>
      <x:c r="G19" s="34" t="n">
        <x:f>IF(D19+E19=0,0,E19/(D19+E19))</x:f>
        <x:v>0.20398296944172417</x:v>
      </x:c>
      <x:c r="H19" s="36" t="n">
        <x:f>ROUND(D19+E19,1)</x:f>
        <x:v>244.8</x:v>
      </x:c>
    </x:row>
    <x:row r="20">
      <x:c r="A20" t="str">
        <x:v>Case 10</x:v>
      </x:c>
      <x:c r="B20" s="34" t="n">
        <x:v>0.9</x:v>
      </x:c>
      <x:c r="C20" s="35" t="n">
        <x:v>1</x:v>
      </x:c>
      <x:c r="D20" s="35" t="n">
        <x:f>MAX(0,MIN('Curve Targets'!$B$2,'Curve Targets'!$G$5+'Curve Targets'!$G$6*B20+'Curve Targets'!$G$7*B20^2+'Curve Targets'!$G$8*B20^3+'Curve Targets'!$G$9*B20^4+'Curve Targets'!$G$10*B20^5+'Curve Targets'!$G$11*B20^6))</x:f>
        <x:v>199.70279481143962</x:v>
      </x:c>
      <x:c r="E20" s="35" t="n">
        <x:f>MAX(0,MIN('Curve Targets'!$K$2,'Curve Targets'!$P$5+'Curve Targets'!$P$6*C20+'Curve Targets'!$P$7*C20^2+'Curve Targets'!$P$8*C20^3+'Curve Targets'!$P$9*C20^4))</x:f>
        <x:v>49.94275300000001</x:v>
      </x:c>
      <x:c r="F20" s="34" t="n">
        <x:f>IF(D20+E20=0,0,D20/(D20+E20))</x:f>
        <x:v>0.799945348764151</x:v>
      </x:c>
      <x:c r="G20" s="34" t="n">
        <x:f>IF(D20+E20=0,0,E20/(D20+E20))</x:f>
        <x:v>0.20005465123584895</x:v>
      </x:c>
      <x:c r="H20" s="36" t="n">
        <x:f>ROUND(D20+E20,1)</x:f>
        <x:v>249.6</x:v>
      </x:c>
    </x:row>
    <x:row r="21">
      <x:c r="A21" t="str">
        <x:v>Case 11</x:v>
      </x:c>
      <x:c r="B21" s="34" t="n">
        <x:v>1</x:v>
      </x:c>
      <x:c r="C21" s="35" t="n">
        <x:v>1</x:v>
      </x:c>
      <x:c r="D21" s="35" t="n">
        <x:f>MAX(0,MIN('Curve Targets'!$B$2,'Curve Targets'!$G$5+'Curve Targets'!$G$6*B21+'Curve Targets'!$G$7*B21^2+'Curve Targets'!$G$8*B21^3+'Curve Targets'!$G$9*B21^4+'Curve Targets'!$G$10*B21^5+'Curve Targets'!$G$11*B21^6))</x:f>
        <x:v>200</x:v>
      </x:c>
      <x:c r="E21" s="35" t="n">
        <x:f>MAX(0,MIN('Curve Targets'!$K$2,'Curve Targets'!$P$5+'Curve Targets'!$P$6*C21+'Curve Targets'!$P$7*C21^2+'Curve Targets'!$P$8*C21^3+'Curve Targets'!$P$9*C21^4))</x:f>
        <x:v>49.94275300000001</x:v>
      </x:c>
      <x:c r="F21" s="34" t="n">
        <x:f>IF(D21+E21=0,0,D21/(D21+E21))</x:f>
        <x:v>0.8001832323580111</x:v>
      </x:c>
      <x:c r="G21" s="34" t="n">
        <x:f>IF(D21+E21=0,0,E21/(D21+E21))</x:f>
        <x:v>0.19981676764198883</x:v>
      </x:c>
      <x:c r="H21" s="36" t="n">
        <x:f>ROUND(D21+E21,1)</x:f>
        <x:v>249.9</x:v>
      </x:c>
    </x:row>
    <x:row r="22">
      <x:c r="A22" t="str">
        <x:v>Case 12</x:v>
      </x:c>
      <x:c r="B22" s="34" t="n">
        <x:v>0</x:v>
      </x:c>
      <x:c r="C22" s="35" t="n">
        <x:v>2</x:v>
      </x:c>
      <x:c r="D22" s="35" t="n">
        <x:f>MAX(0,MIN('Curve Targets'!$B$2,'Curve Targets'!$G$5+'Curve Targets'!$G$6*B22+'Curve Targets'!$G$7*B22^2+'Curve Targets'!$G$8*B22^3+'Curve Targets'!$G$9*B22^4+'Curve Targets'!$G$10*B22^5+'Curve Targets'!$G$11*B22^6))</x:f>
        <x:v>0</x:v>
      </x:c>
      <x:c r="E22" s="35" t="n">
        <x:f>MAX(0,MIN('Curve Targets'!$K$2,'Curve Targets'!$P$5+'Curve Targets'!$P$6*C22+'Curve Targets'!$P$7*C22^2+'Curve Targets'!$P$8*C22^3+'Curve Targets'!$P$9*C22^4))</x:f>
        <x:v>45.045775</x:v>
      </x:c>
      <x:c r="F22" s="34" t="n">
        <x:f>IF(D22+E22=0,0,D22/(D22+E22))</x:f>
        <x:v>0</x:v>
      </x:c>
      <x:c r="G22" s="34" t="n">
        <x:f>IF(D22+E22=0,0,E22/(D22+E22))</x:f>
        <x:v>1</x:v>
      </x:c>
      <x:c r="H22" s="36" t="n">
        <x:f>ROUND(D22+E22,1)</x:f>
        <x:v>45</x:v>
      </x:c>
    </x:row>
    <x:row r="23">
      <x:c r="A23" t="str">
        <x:v>Case 13</x:v>
      </x:c>
      <x:c r="B23" s="34" t="n">
        <x:v>0.1</x:v>
      </x:c>
      <x:c r="C23" s="35" t="n">
        <x:v>2</x:v>
      </x:c>
      <x:c r="D23" s="35" t="n">
        <x:f>MAX(0,MIN('Curve Targets'!$B$2,'Curve Targets'!$G$5+'Curve Targets'!$G$6*B23+'Curve Targets'!$G$7*B23^2+'Curve Targets'!$G$8*B23^3+'Curve Targets'!$G$9*B23^4+'Curve Targets'!$G$10*B23^5+'Curve Targets'!$G$11*B23^6))</x:f>
        <x:v>10.227272730879001</x:v>
      </x:c>
      <x:c r="E23" s="35" t="n">
        <x:f>MAX(0,MIN('Curve Targets'!$K$2,'Curve Targets'!$P$5+'Curve Targets'!$P$6*C23+'Curve Targets'!$P$7*C23^2+'Curve Targets'!$P$8*C23^3+'Curve Targets'!$P$9*C23^4))</x:f>
        <x:v>45.045775</x:v>
      </x:c>
      <x:c r="F23" s="34" t="n">
        <x:f>IF(D23+E23=0,0,D23/(D23+E23))</x:f>
        <x:v>0.18503182203150711</x:v>
      </x:c>
      <x:c r="G23" s="34" t="n">
        <x:f>IF(D23+E23=0,0,E23/(D23+E23))</x:f>
        <x:v>0.8149681779684929</x:v>
      </x:c>
      <x:c r="H23" s="36" t="n">
        <x:f>ROUND(D23+E23,1)</x:f>
        <x:v>55.3</x:v>
      </x:c>
    </x:row>
    <x:row r="24">
      <x:c r="A24" t="str">
        <x:v>Case 14</x:v>
      </x:c>
      <x:c r="B24" s="34" t="n">
        <x:v>0.2</x:v>
      </x:c>
      <x:c r="C24" s="35" t="n">
        <x:v>2</x:v>
      </x:c>
      <x:c r="D24" s="35" t="n">
        <x:f>MAX(0,MIN('Curve Targets'!$B$2,'Curve Targets'!$G$5+'Curve Targets'!$G$6*B24+'Curve Targets'!$G$7*B24^2+'Curve Targets'!$G$8*B24^3+'Curve Targets'!$G$9*B24^4+'Curve Targets'!$G$10*B24^5+'Curve Targets'!$G$11*B24^6))</x:f>
        <x:v>20.05244755905601</x:v>
      </x:c>
      <x:c r="E24" s="35" t="n">
        <x:f>MAX(0,MIN('Curve Targets'!$K$2,'Curve Targets'!$P$5+'Curve Targets'!$P$6*C24+'Curve Targets'!$P$7*C24^2+'Curve Targets'!$P$8*C24^3+'Curve Targets'!$P$9*C24^4))</x:f>
        <x:v>45.045775</x:v>
      </x:c>
      <x:c r="F24" s="34" t="n">
        <x:f>IF(D24+E24=0,0,D24/(D24+E24))</x:f>
        <x:v>0.3080337184454578</x:v>
      </x:c>
      <x:c r="G24" s="34" t="n">
        <x:f>IF(D24+E24=0,0,E24/(D24+E24))</x:f>
        <x:v>0.6919662815545421</x:v>
      </x:c>
      <x:c r="H24" s="36" t="n">
        <x:f>ROUND(D24+E24,1)</x:f>
        <x:v>65.1</x:v>
      </x:c>
    </x:row>
    <x:row r="25">
      <x:c r="A25" t="str">
        <x:v>Case 15</x:v>
      </x:c>
      <x:c r="B25" s="34" t="n">
        <x:v>0.3</x:v>
      </x:c>
      <x:c r="C25" s="35" t="n">
        <x:v>2</x:v>
      </x:c>
      <x:c r="D25" s="35" t="n">
        <x:f>MAX(0,MIN('Curve Targets'!$B$2,'Curve Targets'!$G$5+'Curve Targets'!$G$6*B25+'Curve Targets'!$G$7*B25^2+'Curve Targets'!$G$8*B25^3+'Curve Targets'!$G$9*B25^4+'Curve Targets'!$G$10*B25^5+'Curve Targets'!$G$11*B25^6))</x:f>
        <x:v>44.055944052190966</x:v>
      </x:c>
      <x:c r="E25" s="35" t="n">
        <x:f>MAX(0,MIN('Curve Targets'!$K$2,'Curve Targets'!$P$5+'Curve Targets'!$P$6*C25+'Curve Targets'!$P$7*C25^2+'Curve Targets'!$P$8*C25^3+'Curve Targets'!$P$9*C25^4))</x:f>
        <x:v>45.045775</x:v>
      </x:c>
      <x:c r="F25" s="34" t="n">
        <x:f>IF(D25+E25=0,0,D25/(D25+E25))</x:f>
        <x:v>0.4944455002757622</x:v>
      </x:c>
      <x:c r="G25" s="34" t="n">
        <x:f>IF(D25+E25=0,0,E25/(D25+E25))</x:f>
        <x:v>0.5055544997242379</x:v>
      </x:c>
      <x:c r="H25" s="36" t="n">
        <x:f>ROUND(D25+E25,1)</x:f>
        <x:v>89.1</x:v>
      </x:c>
    </x:row>
    <x:row r="26">
      <x:c r="A26" t="str">
        <x:v>Case 16</x:v>
      </x:c>
      <x:c r="B26" s="34" t="n">
        <x:v>0.4</x:v>
      </x:c>
      <x:c r="C26" s="35" t="n">
        <x:v>2</x:v>
      </x:c>
      <x:c r="D26" s="35" t="n">
        <x:f>MAX(0,MIN('Curve Targets'!$B$2,'Curve Targets'!$G$5+'Curve Targets'!$G$6*B26+'Curve Targets'!$G$7*B26^2+'Curve Targets'!$G$8*B26^3+'Curve Targets'!$G$9*B26^4+'Curve Targets'!$G$10*B26^5+'Curve Targets'!$G$11*B26^6))</x:f>
        <x:v>80.73426568718412</x:v>
      </x:c>
      <x:c r="E26" s="35" t="n">
        <x:f>MAX(0,MIN('Curve Targets'!$K$2,'Curve Targets'!$P$5+'Curve Targets'!$P$6*C26+'Curve Targets'!$P$7*C26^2+'Curve Targets'!$P$8*C26^3+'Curve Targets'!$P$9*C26^4))</x:f>
        <x:v>45.045775</x:v>
      </x:c>
      <x:c r="F26" s="34" t="n">
        <x:f>IF(D26+E26=0,0,D26/(D26+E26))</x:f>
        <x:v>0.6418686561564313</x:v>
      </x:c>
      <x:c r="G26" s="34" t="n">
        <x:f>IF(D26+E26=0,0,E26/(D26+E26))</x:f>
        <x:v>0.35813134384356876</x:v>
      </x:c>
      <x:c r="H26" s="36" t="n">
        <x:f>ROUND(D26+E26,1)</x:f>
        <x:v>125.8</x:v>
      </x:c>
    </x:row>
    <x:row r="27">
      <x:c r="A27" t="str">
        <x:v>Case 17</x:v>
      </x:c>
      <x:c r="B27" s="34" t="n">
        <x:v>0.5</x:v>
      </x:c>
      <x:c r="C27" s="35" t="n">
        <x:v>2</x:v>
      </x:c>
      <x:c r="D27" s="35" t="n">
        <x:f>MAX(0,MIN('Curve Targets'!$B$2,'Curve Targets'!$G$5+'Curve Targets'!$G$6*B27+'Curve Targets'!$G$7*B27^2+'Curve Targets'!$G$8*B27^3+'Curve Targets'!$G$9*B27^4+'Curve Targets'!$G$10*B27^5+'Curve Targets'!$G$11*B27^6))</x:f>
        <x:v>121.46853131437501</x:v>
      </x:c>
      <x:c r="E27" s="35" t="n">
        <x:f>MAX(0,MIN('Curve Targets'!$K$2,'Curve Targets'!$P$5+'Curve Targets'!$P$6*C27+'Curve Targets'!$P$7*C27^2+'Curve Targets'!$P$8*C27^3+'Curve Targets'!$P$9*C27^4))</x:f>
        <x:v>45.045775</x:v>
      </x:c>
      <x:c r="F27" s="34" t="n">
        <x:f>IF(D27+E27=0,0,D27/(D27+E27))</x:f>
        <x:v>0.7294780490815327</x:v>
      </x:c>
      <x:c r="G27" s="34" t="n">
        <x:f>IF(D27+E27=0,0,E27/(D27+E27))</x:f>
        <x:v>0.27052195091846737</x:v>
      </x:c>
      <x:c r="H27" s="36" t="n">
        <x:f>ROUND(D27+E27,1)</x:f>
        <x:v>166.5</x:v>
      </x:c>
    </x:row>
    <x:row r="28">
      <x:c r="A28" t="str">
        <x:v>Case 18</x:v>
      </x:c>
      <x:c r="B28" s="34" t="n">
        <x:v>0.6</x:v>
      </x:c>
      <x:c r="C28" s="35" t="n">
        <x:v>2</x:v>
      </x:c>
      <x:c r="D28" s="35" t="n">
        <x:f>MAX(0,MIN('Curve Targets'!$B$2,'Curve Targets'!$G$5+'Curve Targets'!$G$6*B28+'Curve Targets'!$G$7*B28^2+'Curve Targets'!$G$8*B28^3+'Curve Targets'!$G$9*B28^4+'Curve Targets'!$G$10*B28^5+'Curve Targets'!$G$11*B28^6))</x:f>
        <x:v>157.06293669262354</x:v>
      </x:c>
      <x:c r="E28" s="35" t="n">
        <x:f>MAX(0,MIN('Curve Targets'!$K$2,'Curve Targets'!$P$5+'Curve Targets'!$P$6*C28+'Curve Targets'!$P$7*C28^2+'Curve Targets'!$P$8*C28^3+'Curve Targets'!$P$9*C28^4))</x:f>
        <x:v>45.045775</x:v>
      </x:c>
      <x:c r="F28" s="34" t="n">
        <x:f>IF(D28+E28=0,0,D28/(D28+E28))</x:f>
        <x:v>0.7771210621118216</x:v>
      </x:c>
      <x:c r="G28" s="34" t="n">
        <x:f>IF(D28+E28=0,0,E28/(D28+E28))</x:f>
        <x:v>0.22287893788817842</x:v>
      </x:c>
      <x:c r="H28" s="36" t="n">
        <x:f>ROUND(D28+E28,1)</x:f>
        <x:v>202.1</x:v>
      </x:c>
    </x:row>
    <x:row r="29">
      <x:c r="A29" t="str">
        <x:v>Case 19</x:v>
      </x:c>
      <x:c r="B29" s="34" t="n">
        <x:v>0.7</x:v>
      </x:c>
      <x:c r="C29" s="35" t="n">
        <x:v>2</x:v>
      </x:c>
      <x:c r="D29" s="35" t="n">
        <x:f>MAX(0,MIN('Curve Targets'!$B$2,'Curve Targets'!$G$5+'Curve Targets'!$G$6*B29+'Curve Targets'!$G$7*B29^2+'Curve Targets'!$G$8*B29^3+'Curve Targets'!$G$9*B29^4+'Curve Targets'!$G$10*B29^5+'Curve Targets'!$G$11*B29^6))</x:f>
        <x:v>181.78321602527052</x:v>
      </x:c>
      <x:c r="E29" s="35" t="n">
        <x:f>MAX(0,MIN('Curve Targets'!$K$2,'Curve Targets'!$P$5+'Curve Targets'!$P$6*C29+'Curve Targets'!$P$7*C29^2+'Curve Targets'!$P$8*C29^3+'Curve Targets'!$P$9*C29^4))</x:f>
        <x:v>45.045775</x:v>
      </x:c>
      <x:c r="F29" s="34" t="n">
        <x:f>IF(D29+E29=0,0,D29/(D29+E29))</x:f>
        <x:v>0.8014108567146008</x:v>
      </x:c>
      <x:c r="G29" s="34" t="n">
        <x:f>IF(D29+E29=0,0,E29/(D29+E29))</x:f>
        <x:v>0.1985891432853993</x:v>
      </x:c>
      <x:c r="H29" s="36" t="n">
        <x:f>ROUND(D29+E29,1)</x:f>
        <x:v>226.8</x:v>
      </x:c>
    </x:row>
    <x:row r="30">
      <x:c r="A30" t="str">
        <x:v>Case 20</x:v>
      </x:c>
      <x:c r="B30" s="34" t="n">
        <x:v>0.8</x:v>
      </x:c>
      <x:c r="C30" s="35" t="n">
        <x:v>2</x:v>
      </x:c>
      <x:c r="D30" s="35" t="n">
        <x:f>MAX(0,MIN('Curve Targets'!$B$2,'Curve Targets'!$G$5+'Curve Targets'!$G$6*B30+'Curve Targets'!$G$7*B30^2+'Curve Targets'!$G$8*B30^3+'Curve Targets'!$G$9*B30^4+'Curve Targets'!$G$10*B30^5+'Curve Targets'!$G$11*B30^6))</x:f>
        <x:v>194.8951034969765</x:v>
      </x:c>
      <x:c r="E30" s="35" t="n">
        <x:f>MAX(0,MIN('Curve Targets'!$K$2,'Curve Targets'!$P$5+'Curve Targets'!$P$6*C30+'Curve Targets'!$P$7*C30^2+'Curve Targets'!$P$8*C30^3+'Curve Targets'!$P$9*C30^4))</x:f>
        <x:v>45.045775</x:v>
      </x:c>
      <x:c r="F30" s="34" t="n">
        <x:f>IF(D30+E30=0,0,D30/(D30+E30))</x:f>
        <x:v>0.8122630237824706</x:v>
      </x:c>
      <x:c r="G30" s="34" t="n">
        <x:f>IF(D30+E30=0,0,E30/(D30+E30))</x:f>
        <x:v>0.18773697621752944</x:v>
      </x:c>
      <x:c r="H30" s="36" t="n">
        <x:f>ROUND(D30+E30,1)</x:f>
        <x:v>239.9</x:v>
      </x:c>
    </x:row>
    <x:row r="31">
      <x:c r="A31" t="str">
        <x:v>Case 21</x:v>
      </x:c>
      <x:c r="B31" s="34" t="n">
        <x:v>0.9</x:v>
      </x:c>
      <x:c r="C31" s="35" t="n">
        <x:v>2</x:v>
      </x:c>
      <x:c r="D31" s="35" t="n">
        <x:f>MAX(0,MIN('Curve Targets'!$B$2,'Curve Targets'!$G$5+'Curve Targets'!$G$6*B31+'Curve Targets'!$G$7*B31^2+'Curve Targets'!$G$8*B31^3+'Curve Targets'!$G$9*B31^4+'Curve Targets'!$G$10*B31^5+'Curve Targets'!$G$11*B31^6))</x:f>
        <x:v>199.70279481143962</x:v>
      </x:c>
      <x:c r="E31" s="35" t="n">
        <x:f>MAX(0,MIN('Curve Targets'!$K$2,'Curve Targets'!$P$5+'Curve Targets'!$P$6*C31+'Curve Targets'!$P$7*C31^2+'Curve Targets'!$P$8*C31^3+'Curve Targets'!$P$9*C31^4))</x:f>
        <x:v>45.045775</x:v>
      </x:c>
      <x:c r="F31" s="34" t="n">
        <x:f>IF(D31+E31=0,0,D31/(D31+E31))</x:f>
        <x:v>0.8159508141979976</x:v>
      </x:c>
      <x:c r="G31" s="34" t="n">
        <x:f>IF(D31+E31=0,0,E31/(D31+E31))</x:f>
        <x:v>0.18404918580200239</x:v>
      </x:c>
      <x:c r="H31" s="36" t="n">
        <x:f>ROUND(D31+E31,1)</x:f>
        <x:v>244.7</x:v>
      </x:c>
    </x:row>
    <x:row r="32">
      <x:c r="A32" t="str">
        <x:v>Case 22</x:v>
      </x:c>
      <x:c r="B32" s="34" t="n">
        <x:v>1</x:v>
      </x:c>
      <x:c r="C32" s="35" t="n">
        <x:v>2</x:v>
      </x:c>
      <x:c r="D32" s="35" t="n">
        <x:f>MAX(0,MIN('Curve Targets'!$B$2,'Curve Targets'!$G$5+'Curve Targets'!$G$6*B32+'Curve Targets'!$G$7*B32^2+'Curve Targets'!$G$8*B32^3+'Curve Targets'!$G$9*B32^4+'Curve Targets'!$G$10*B32^5+'Curve Targets'!$G$11*B32^6))</x:f>
        <x:v>200</x:v>
      </x:c>
      <x:c r="E32" s="35" t="n">
        <x:f>MAX(0,MIN('Curve Targets'!$K$2,'Curve Targets'!$P$5+'Curve Targets'!$P$6*C32+'Curve Targets'!$P$7*C32^2+'Curve Targets'!$P$8*C32^3+'Curve Targets'!$P$9*C32^4))</x:f>
        <x:v>45.045775</x:v>
      </x:c>
      <x:c r="F32" s="34" t="n">
        <x:f>IF(D32+E32=0,0,D32/(D32+E32))</x:f>
        <x:v>0.8161740393197965</x:v>
      </x:c>
      <x:c r="G32" s="34" t="n">
        <x:f>IF(D32+E32=0,0,E32/(D32+E32))</x:f>
        <x:v>0.18382596068020352</x:v>
      </x:c>
      <x:c r="H32" s="36" t="n">
        <x:f>ROUND(D32+E32,1)</x:f>
        <x:v>245</x:v>
      </x:c>
    </x:row>
    <x:row r="33">
      <x:c r="A33" t="str">
        <x:v>Case 23</x:v>
      </x:c>
      <x:c r="B33" s="34" t="n">
        <x:v>0</x:v>
      </x:c>
      <x:c r="C33" s="35" t="n">
        <x:v>3</x:v>
      </x:c>
      <x:c r="D33" s="35" t="n">
        <x:f>MAX(0,MIN('Curve Targets'!$B$2,'Curve Targets'!$G$5+'Curve Targets'!$G$6*B33+'Curve Targets'!$G$7*B33^2+'Curve Targets'!$G$8*B33^3+'Curve Targets'!$G$9*B33^4+'Curve Targets'!$G$10*B33^5+'Curve Targets'!$G$11*B33^6))</x:f>
        <x:v>0</x:v>
      </x:c>
      <x:c r="E33" s="35" t="n">
        <x:f>MAX(0,MIN('Curve Targets'!$K$2,'Curve Targets'!$P$5+'Curve Targets'!$P$6*C33+'Curve Targets'!$P$7*C33^2+'Curve Targets'!$P$8*C33^3+'Curve Targets'!$P$9*C33^4))</x:f>
        <x:v>40.06027500000001</x:v>
      </x:c>
      <x:c r="F33" s="34" t="n">
        <x:f>IF(D33+E33=0,0,D33/(D33+E33))</x:f>
        <x:v>0</x:v>
      </x:c>
      <x:c r="G33" s="34" t="n">
        <x:f>IF(D33+E33=0,0,E33/(D33+E33))</x:f>
        <x:v>1</x:v>
      </x:c>
      <x:c r="H33" s="36" t="n">
        <x:f>ROUND(D33+E33,1)</x:f>
        <x:v>40.1</x:v>
      </x:c>
    </x:row>
    <x:row r="34">
      <x:c r="A34" t="str">
        <x:v>Case 24</x:v>
      </x:c>
      <x:c r="B34" s="34" t="n">
        <x:v>0.1</x:v>
      </x:c>
      <x:c r="C34" s="35" t="n">
        <x:v>3</x:v>
      </x:c>
      <x:c r="D34" s="35" t="n">
        <x:f>MAX(0,MIN('Curve Targets'!$B$2,'Curve Targets'!$G$5+'Curve Targets'!$G$6*B34+'Curve Targets'!$G$7*B34^2+'Curve Targets'!$G$8*B34^3+'Curve Targets'!$G$9*B34^4+'Curve Targets'!$G$10*B34^5+'Curve Targets'!$G$11*B34^6))</x:f>
        <x:v>10.227272730879001</x:v>
      </x:c>
      <x:c r="E34" s="35" t="n">
        <x:f>MAX(0,MIN('Curve Targets'!$K$2,'Curve Targets'!$P$5+'Curve Targets'!$P$6*C34+'Curve Targets'!$P$7*C34^2+'Curve Targets'!$P$8*C34^3+'Curve Targets'!$P$9*C34^4))</x:f>
        <x:v>40.06027500000001</x:v>
      </x:c>
      <x:c r="F34" s="34" t="n">
        <x:f>IF(D34+E34=0,0,D34/(D34+E34))</x:f>
        <x:v>0.20337584933772693</x:v>
      </x:c>
      <x:c r="G34" s="34" t="n">
        <x:f>IF(D34+E34=0,0,E34/(D34+E34))</x:f>
        <x:v>0.7966241506622731</x:v>
      </x:c>
      <x:c r="H34" s="36" t="n">
        <x:f>ROUND(D34+E34,1)</x:f>
        <x:v>50.3</x:v>
      </x:c>
    </x:row>
    <x:row r="35">
      <x:c r="A35" t="str">
        <x:v>Case 25</x:v>
      </x:c>
      <x:c r="B35" s="34" t="n">
        <x:v>0.2</x:v>
      </x:c>
      <x:c r="C35" s="35" t="n">
        <x:v>3</x:v>
      </x:c>
      <x:c r="D35" s="35" t="n">
        <x:f>MAX(0,MIN('Curve Targets'!$B$2,'Curve Targets'!$G$5+'Curve Targets'!$G$6*B35+'Curve Targets'!$G$7*B35^2+'Curve Targets'!$G$8*B35^3+'Curve Targets'!$G$9*B35^4+'Curve Targets'!$G$10*B35^5+'Curve Targets'!$G$11*B35^6))</x:f>
        <x:v>20.05244755905601</x:v>
      </x:c>
      <x:c r="E35" s="35" t="n">
        <x:f>MAX(0,MIN('Curve Targets'!$K$2,'Curve Targets'!$P$5+'Curve Targets'!$P$6*C35+'Curve Targets'!$P$7*C35^2+'Curve Targets'!$P$8*C35^3+'Curve Targets'!$P$9*C35^4))</x:f>
        <x:v>40.06027500000001</x:v>
      </x:c>
      <x:c r="F35" s="34" t="n">
        <x:f>IF(D35+E35=0,0,D35/(D35+E35))</x:f>
        <x:v>0.33358075803929954</x:v>
      </x:c>
      <x:c r="G35" s="34" t="n">
        <x:f>IF(D35+E35=0,0,E35/(D35+E35))</x:f>
        <x:v>0.6664192419607005</x:v>
      </x:c>
      <x:c r="H35" s="36" t="n">
        <x:f>ROUND(D35+E35,1)</x:f>
        <x:v>60.1</x:v>
      </x:c>
    </x:row>
    <x:row r="36">
      <x:c r="A36" t="str">
        <x:v>Case 26</x:v>
      </x:c>
      <x:c r="B36" s="34" t="n">
        <x:v>0.3</x:v>
      </x:c>
      <x:c r="C36" s="35" t="n">
        <x:v>3</x:v>
      </x:c>
      <x:c r="D36" s="35" t="n">
        <x:f>MAX(0,MIN('Curve Targets'!$B$2,'Curve Targets'!$G$5+'Curve Targets'!$G$6*B36+'Curve Targets'!$G$7*B36^2+'Curve Targets'!$G$8*B36^3+'Curve Targets'!$G$9*B36^4+'Curve Targets'!$G$10*B36^5+'Curve Targets'!$G$11*B36^6))</x:f>
        <x:v>44.055944052190966</x:v>
      </x:c>
      <x:c r="E36" s="35" t="n">
        <x:f>MAX(0,MIN('Curve Targets'!$K$2,'Curve Targets'!$P$5+'Curve Targets'!$P$6*C36+'Curve Targets'!$P$7*C36^2+'Curve Targets'!$P$8*C36^3+'Curve Targets'!$P$9*C36^4))</x:f>
        <x:v>40.06027500000001</x:v>
      </x:c>
      <x:c r="F36" s="34" t="n">
        <x:f>IF(D36+E36=0,0,D36/(D36+E36))</x:f>
        <x:v>0.5237508835823432</x:v>
      </x:c>
      <x:c r="G36" s="34" t="n">
        <x:f>IF(D36+E36=0,0,E36/(D36+E36))</x:f>
        <x:v>0.47624911641765666</x:v>
      </x:c>
      <x:c r="H36" s="36" t="n">
        <x:f>ROUND(D36+E36,1)</x:f>
        <x:v>84.1</x:v>
      </x:c>
    </x:row>
    <x:row r="37">
      <x:c r="A37" t="str">
        <x:v>Case 27</x:v>
      </x:c>
      <x:c r="B37" s="34" t="n">
        <x:v>0.4</x:v>
      </x:c>
      <x:c r="C37" s="35" t="n">
        <x:v>3</x:v>
      </x:c>
      <x:c r="D37" s="35" t="n">
        <x:f>MAX(0,MIN('Curve Targets'!$B$2,'Curve Targets'!$G$5+'Curve Targets'!$G$6*B37+'Curve Targets'!$G$7*B37^2+'Curve Targets'!$G$8*B37^3+'Curve Targets'!$G$9*B37^4+'Curve Targets'!$G$10*B37^5+'Curve Targets'!$G$11*B37^6))</x:f>
        <x:v>80.73426568718412</x:v>
      </x:c>
      <x:c r="E37" s="35" t="n">
        <x:f>MAX(0,MIN('Curve Targets'!$K$2,'Curve Targets'!$P$5+'Curve Targets'!$P$6*C37+'Curve Targets'!$P$7*C37^2+'Curve Targets'!$P$8*C37^3+'Curve Targets'!$P$9*C37^4))</x:f>
        <x:v>40.06027500000001</x:v>
      </x:c>
      <x:c r="F37" s="34" t="n">
        <x:f>IF(D37+E37=0,0,D37/(D37+E37))</x:f>
        <x:v>0.6683602191613758</x:v>
      </x:c>
      <x:c r="G37" s="34" t="n">
        <x:f>IF(D37+E37=0,0,E37/(D37+E37))</x:f>
        <x:v>0.3316397808386241</x:v>
      </x:c>
      <x:c r="H37" s="36" t="n">
        <x:f>ROUND(D37+E37,1)</x:f>
        <x:v>120.8</x:v>
      </x:c>
    </x:row>
    <x:row r="38">
      <x:c r="A38" t="str">
        <x:v>Case 28</x:v>
      </x:c>
      <x:c r="B38" s="34" t="n">
        <x:v>0.5</x:v>
      </x:c>
      <x:c r="C38" s="35" t="n">
        <x:v>3</x:v>
      </x:c>
      <x:c r="D38" s="35" t="n">
        <x:f>MAX(0,MIN('Curve Targets'!$B$2,'Curve Targets'!$G$5+'Curve Targets'!$G$6*B38+'Curve Targets'!$G$7*B38^2+'Curve Targets'!$G$8*B38^3+'Curve Targets'!$G$9*B38^4+'Curve Targets'!$G$10*B38^5+'Curve Targets'!$G$11*B38^6))</x:f>
        <x:v>121.46853131437501</x:v>
      </x:c>
      <x:c r="E38" s="35" t="n">
        <x:f>MAX(0,MIN('Curve Targets'!$K$2,'Curve Targets'!$P$5+'Curve Targets'!$P$6*C38+'Curve Targets'!$P$7*C38^2+'Curve Targets'!$P$8*C38^3+'Curve Targets'!$P$9*C38^4))</x:f>
        <x:v>40.06027500000001</x:v>
      </x:c>
      <x:c r="F38" s="34" t="n">
        <x:f>IF(D38+E38=0,0,D38/(D38+E38))</x:f>
        <x:v>0.7519929979422196</x:v>
      </x:c>
      <x:c r="G38" s="34" t="n">
        <x:f>IF(D38+E38=0,0,E38/(D38+E38))</x:f>
        <x:v>0.24800700205778034</x:v>
      </x:c>
      <x:c r="H38" s="36" t="n">
        <x:f>ROUND(D38+E38,1)</x:f>
        <x:v>161.5</x:v>
      </x:c>
    </x:row>
    <x:row r="39">
      <x:c r="A39" t="str">
        <x:v>Case 29</x:v>
      </x:c>
      <x:c r="B39" s="34" t="n">
        <x:v>0.6</x:v>
      </x:c>
      <x:c r="C39" s="35" t="n">
        <x:v>3</x:v>
      </x:c>
      <x:c r="D39" s="35" t="n">
        <x:f>MAX(0,MIN('Curve Targets'!$B$2,'Curve Targets'!$G$5+'Curve Targets'!$G$6*B39+'Curve Targets'!$G$7*B39^2+'Curve Targets'!$G$8*B39^3+'Curve Targets'!$G$9*B39^4+'Curve Targets'!$G$10*B39^5+'Curve Targets'!$G$11*B39^6))</x:f>
        <x:v>157.06293669262354</x:v>
      </x:c>
      <x:c r="E39" s="35" t="n">
        <x:f>MAX(0,MIN('Curve Targets'!$K$2,'Curve Targets'!$P$5+'Curve Targets'!$P$6*C39+'Curve Targets'!$P$7*C39^2+'Curve Targets'!$P$8*C39^3+'Curve Targets'!$P$9*C39^4))</x:f>
        <x:v>40.06027500000001</x:v>
      </x:c>
      <x:c r="F39" s="34" t="n">
        <x:f>IF(D39+E39=0,0,D39/(D39+E39))</x:f>
        <x:v>0.7967754550262378</x:v>
      </x:c>
      <x:c r="G39" s="34" t="n">
        <x:f>IF(D39+E39=0,0,E39/(D39+E39))</x:f>
        <x:v>0.20322454497376213</x:v>
      </x:c>
      <x:c r="H39" s="36" t="n">
        <x:f>ROUND(D39+E39,1)</x:f>
        <x:v>197.1</x:v>
      </x:c>
    </x:row>
    <x:row r="40">
      <x:c r="A40" t="str">
        <x:v>Case 30</x:v>
      </x:c>
      <x:c r="B40" s="34" t="n">
        <x:v>0.7</x:v>
      </x:c>
      <x:c r="C40" s="35" t="n">
        <x:v>3</x:v>
      </x:c>
      <x:c r="D40" s="35" t="n">
        <x:f>MAX(0,MIN('Curve Targets'!$B$2,'Curve Targets'!$G$5+'Curve Targets'!$G$6*B40+'Curve Targets'!$G$7*B40^2+'Curve Targets'!$G$8*B40^3+'Curve Targets'!$G$9*B40^4+'Curve Targets'!$G$10*B40^5+'Curve Targets'!$G$11*B40^6))</x:f>
        <x:v>181.78321602527052</x:v>
      </x:c>
      <x:c r="E40" s="35" t="n">
        <x:f>MAX(0,MIN('Curve Targets'!$K$2,'Curve Targets'!$P$5+'Curve Targets'!$P$6*C40+'Curve Targets'!$P$7*C40^2+'Curve Targets'!$P$8*C40^3+'Curve Targets'!$P$9*C40^4))</x:f>
        <x:v>40.06027500000001</x:v>
      </x:c>
      <x:c r="F40" s="34" t="n">
        <x:f>IF(D40+E40=0,0,D40/(D40+E40))</x:f>
        <x:v>0.819421003452219</x:v>
      </x:c>
      <x:c r="G40" s="34" t="n">
        <x:f>IF(D40+E40=0,0,E40/(D40+E40))</x:f>
        <x:v>0.18057899654778098</x:v>
      </x:c>
      <x:c r="H40" s="36" t="n">
        <x:f>ROUND(D40+E40,1)</x:f>
        <x:v>221.8</x:v>
      </x:c>
    </x:row>
    <x:row r="41">
      <x:c r="A41" t="str">
        <x:v>Case 31</x:v>
      </x:c>
      <x:c r="B41" s="34" t="n">
        <x:v>0.8</x:v>
      </x:c>
      <x:c r="C41" s="35" t="n">
        <x:v>3</x:v>
      </x:c>
      <x:c r="D41" s="35" t="n">
        <x:f>MAX(0,MIN('Curve Targets'!$B$2,'Curve Targets'!$G$5+'Curve Targets'!$G$6*B41+'Curve Targets'!$G$7*B41^2+'Curve Targets'!$G$8*B41^3+'Curve Targets'!$G$9*B41^4+'Curve Targets'!$G$10*B41^5+'Curve Targets'!$G$11*B41^6))</x:f>
        <x:v>194.8951034969765</x:v>
      </x:c>
      <x:c r="E41" s="35" t="n">
        <x:f>MAX(0,MIN('Curve Targets'!$K$2,'Curve Targets'!$P$5+'Curve Targets'!$P$6*C41+'Curve Targets'!$P$7*C41^2+'Curve Targets'!$P$8*C41^3+'Curve Targets'!$P$9*C41^4))</x:f>
        <x:v>40.06027500000001</x:v>
      </x:c>
      <x:c r="F41" s="34" t="n">
        <x:f>IF(D41+E41=0,0,D41/(D41+E41))</x:f>
        <x:v>0.8294983700468235</x:v>
      </x:c>
      <x:c r="G41" s="34" t="n">
        <x:f>IF(D41+E41=0,0,E41/(D41+E41))</x:f>
        <x:v>0.1705016299531765</x:v>
      </x:c>
      <x:c r="H41" s="36" t="n">
        <x:f>ROUND(D41+E41,1)</x:f>
        <x:v>235</x:v>
      </x:c>
    </x:row>
    <x:row r="42">
      <x:c r="A42" t="str">
        <x:v>Case 32</x:v>
      </x:c>
      <x:c r="B42" s="34" t="n">
        <x:v>0.9</x:v>
      </x:c>
      <x:c r="C42" s="35" t="n">
        <x:v>3</x:v>
      </x:c>
      <x:c r="D42" s="35" t="n">
        <x:f>MAX(0,MIN('Curve Targets'!$B$2,'Curve Targets'!$G$5+'Curve Targets'!$G$6*B42+'Curve Targets'!$G$7*B42^2+'Curve Targets'!$G$8*B42^3+'Curve Targets'!$G$9*B42^4+'Curve Targets'!$G$10*B42^5+'Curve Targets'!$G$11*B42^6))</x:f>
        <x:v>199.70279481143962</x:v>
      </x:c>
      <x:c r="E42" s="35" t="n">
        <x:f>MAX(0,MIN('Curve Targets'!$K$2,'Curve Targets'!$P$5+'Curve Targets'!$P$6*C42+'Curve Targets'!$P$7*C42^2+'Curve Targets'!$P$8*C42^3+'Curve Targets'!$P$9*C42^4))</x:f>
        <x:v>40.06027500000001</x:v>
      </x:c>
      <x:c r="F42" s="34" t="n">
        <x:f>IF(D42+E42=0,0,D42/(D42+E42))</x:f>
        <x:v>0.8329172418775536</x:v>
      </x:c>
      <x:c r="G42" s="34" t="n">
        <x:f>IF(D42+E42=0,0,E42/(D42+E42))</x:f>
        <x:v>0.16708275812244644</x:v>
      </x:c>
      <x:c r="H42" s="36" t="n">
        <x:f>ROUND(D42+E42,1)</x:f>
        <x:v>239.8</x:v>
      </x:c>
    </x:row>
    <x:row r="43">
      <x:c r="A43" t="str">
        <x:v>Case 33</x:v>
      </x:c>
      <x:c r="B43" s="34" t="n">
        <x:v>1</x:v>
      </x:c>
      <x:c r="C43" s="35" t="n">
        <x:v>3</x:v>
      </x:c>
      <x:c r="D43" s="35" t="n">
        <x:f>MAX(0,MIN('Curve Targets'!$B$2,'Curve Targets'!$G$5+'Curve Targets'!$G$6*B43+'Curve Targets'!$G$7*B43^2+'Curve Targets'!$G$8*B43^3+'Curve Targets'!$G$9*B43^4+'Curve Targets'!$G$10*B43^5+'Curve Targets'!$G$11*B43^6))</x:f>
        <x:v>200</x:v>
      </x:c>
      <x:c r="E43" s="35" t="n">
        <x:f>MAX(0,MIN('Curve Targets'!$K$2,'Curve Targets'!$P$5+'Curve Targets'!$P$6*C43+'Curve Targets'!$P$7*C43^2+'Curve Targets'!$P$8*C43^3+'Curve Targets'!$P$9*C43^4))</x:f>
        <x:v>40.06027500000001</x:v>
      </x:c>
      <x:c r="F43" s="34" t="n">
        <x:f>IF(D43+E43=0,0,D43/(D43+E43))</x:f>
        <x:v>0.8331240976875495</x:v>
      </x:c>
      <x:c r="G43" s="34" t="n">
        <x:f>IF(D43+E43=0,0,E43/(D43+E43))</x:f>
        <x:v>0.16687590231245053</x:v>
      </x:c>
      <x:c r="H43" s="36" t="n">
        <x:f>ROUND(D43+E43,1)</x:f>
        <x:v>240.1</x:v>
      </x:c>
    </x:row>
    <x:row r="44">
      <x:c r="A44" t="str">
        <x:v>Case 34</x:v>
      </x:c>
      <x:c r="B44" s="34" t="n">
        <x:v>0</x:v>
      </x:c>
      <x:c r="C44" s="35" t="n">
        <x:v>4</x:v>
      </x:c>
      <x:c r="D44" s="35" t="n">
        <x:f>MAX(0,MIN('Curve Targets'!$B$2,'Curve Targets'!$G$5+'Curve Targets'!$G$6*B44+'Curve Targets'!$G$7*B44^2+'Curve Targets'!$G$8*B44^3+'Curve Targets'!$G$9*B44^4+'Curve Targets'!$G$10*B44^5+'Curve Targets'!$G$11*B44^6))</x:f>
        <x:v>0</x:v>
      </x:c>
      <x:c r="E44" s="35" t="n">
        <x:f>MAX(0,MIN('Curve Targets'!$K$2,'Curve Targets'!$P$5+'Curve Targets'!$P$6*C44+'Curve Targets'!$P$7*C44^2+'Curve Targets'!$P$8*C44^3+'Curve Targets'!$P$9*C44^4))</x:f>
        <x:v>35.22020500000001</x:v>
      </x:c>
      <x:c r="F44" s="34" t="n">
        <x:f>IF(D44+E44=0,0,D44/(D44+E44))</x:f>
        <x:v>0</x:v>
      </x:c>
      <x:c r="G44" s="34" t="n">
        <x:f>IF(D44+E44=0,0,E44/(D44+E44))</x:f>
        <x:v>1</x:v>
      </x:c>
      <x:c r="H44" s="36" t="n">
        <x:f>ROUND(D44+E44,1)</x:f>
        <x:v>35.2</x:v>
      </x:c>
    </x:row>
    <x:row r="45">
      <x:c r="A45" t="str">
        <x:v>Case 35</x:v>
      </x:c>
      <x:c r="B45" s="34" t="n">
        <x:v>0.1</x:v>
      </x:c>
      <x:c r="C45" s="35" t="n">
        <x:v>4</x:v>
      </x:c>
      <x:c r="D45" s="35" t="n">
        <x:f>MAX(0,MIN('Curve Targets'!$B$2,'Curve Targets'!$G$5+'Curve Targets'!$G$6*B45+'Curve Targets'!$G$7*B45^2+'Curve Targets'!$G$8*B45^3+'Curve Targets'!$G$9*B45^4+'Curve Targets'!$G$10*B45^5+'Curve Targets'!$G$11*B45^6))</x:f>
        <x:v>10.227272730879001</x:v>
      </x:c>
      <x:c r="E45" s="35" t="n">
        <x:f>MAX(0,MIN('Curve Targets'!$K$2,'Curve Targets'!$P$5+'Curve Targets'!$P$6*C45+'Curve Targets'!$P$7*C45^2+'Curve Targets'!$P$8*C45^3+'Curve Targets'!$P$9*C45^4))</x:f>
        <x:v>35.22020500000001</x:v>
      </x:c>
      <x:c r="F45" s="34" t="n">
        <x:f>IF(D45+E45=0,0,D45/(D45+E45))</x:f>
        <x:v>0.2250349907521962</x:v>
      </x:c>
      <x:c r="G45" s="34" t="n">
        <x:f>IF(D45+E45=0,0,E45/(D45+E45))</x:f>
        <x:v>0.7749650092478038</x:v>
      </x:c>
      <x:c r="H45" s="36" t="n">
        <x:f>ROUND(D45+E45,1)</x:f>
        <x:v>45.4</x:v>
      </x:c>
    </x:row>
    <x:row r="46">
      <x:c r="A46" t="str">
        <x:v>Case 36</x:v>
      </x:c>
      <x:c r="B46" s="34" t="n">
        <x:v>0.2</x:v>
      </x:c>
      <x:c r="C46" s="35" t="n">
        <x:v>4</x:v>
      </x:c>
      <x:c r="D46" s="35" t="n">
        <x:f>MAX(0,MIN('Curve Targets'!$B$2,'Curve Targets'!$G$5+'Curve Targets'!$G$6*B46+'Curve Targets'!$G$7*B46^2+'Curve Targets'!$G$8*B46^3+'Curve Targets'!$G$9*B46^4+'Curve Targets'!$G$10*B46^5+'Curve Targets'!$G$11*B46^6))</x:f>
        <x:v>20.05244755905601</x:v>
      </x:c>
      <x:c r="E46" s="35" t="n">
        <x:f>MAX(0,MIN('Curve Targets'!$K$2,'Curve Targets'!$P$5+'Curve Targets'!$P$6*C46+'Curve Targets'!$P$7*C46^2+'Curve Targets'!$P$8*C46^3+'Curve Targets'!$P$9*C46^4))</x:f>
        <x:v>35.22020500000001</x:v>
      </x:c>
      <x:c r="F46" s="34" t="n">
        <x:f>IF(D46+E46=0,0,D46/(D46+E46))</x:f>
        <x:v>0.3627914824176566</x:v>
      </x:c>
      <x:c r="G46" s="34" t="n">
        <x:f>IF(D46+E46=0,0,E46/(D46+E46))</x:f>
        <x:v>0.6372085175823435</x:v>
      </x:c>
      <x:c r="H46" s="36" t="n">
        <x:f>ROUND(D46+E46,1)</x:f>
        <x:v>55.3</x:v>
      </x:c>
    </x:row>
    <x:row r="47">
      <x:c r="A47" t="str">
        <x:v>Case 37</x:v>
      </x:c>
      <x:c r="B47" s="34" t="n">
        <x:v>0.3</x:v>
      </x:c>
      <x:c r="C47" s="35" t="n">
        <x:v>4</x:v>
      </x:c>
      <x:c r="D47" s="35" t="n">
        <x:f>MAX(0,MIN('Curve Targets'!$B$2,'Curve Targets'!$G$5+'Curve Targets'!$G$6*B47+'Curve Targets'!$G$7*B47^2+'Curve Targets'!$G$8*B47^3+'Curve Targets'!$G$9*B47^4+'Curve Targets'!$G$10*B47^5+'Curve Targets'!$G$11*B47^6))</x:f>
        <x:v>44.055944052190966</x:v>
      </x:c>
      <x:c r="E47" s="35" t="n">
        <x:f>MAX(0,MIN('Curve Targets'!$K$2,'Curve Targets'!$P$5+'Curve Targets'!$P$6*C47+'Curve Targets'!$P$7*C47^2+'Curve Targets'!$P$8*C47^3+'Curve Targets'!$P$9*C47^4))</x:f>
        <x:v>35.22020500000001</x:v>
      </x:c>
      <x:c r="F47" s="34" t="n">
        <x:f>IF(D47+E47=0,0,D47/(D47+E47))</x:f>
        <x:v>0.5557276000274307</x:v>
      </x:c>
      <x:c r="G47" s="34" t="n">
        <x:f>IF(D47+E47=0,0,E47/(D47+E47))</x:f>
        <x:v>0.4442723999725693</x:v>
      </x:c>
      <x:c r="H47" s="36" t="n">
        <x:f>ROUND(D47+E47,1)</x:f>
        <x:v>79.3</x:v>
      </x:c>
    </x:row>
    <x:row r="48">
      <x:c r="A48" t="str">
        <x:v>Case 38</x:v>
      </x:c>
      <x:c r="B48" s="34" t="n">
        <x:v>0.4</x:v>
      </x:c>
      <x:c r="C48" s="35" t="n">
        <x:v>4</x:v>
      </x:c>
      <x:c r="D48" s="35" t="n">
        <x:f>MAX(0,MIN('Curve Targets'!$B$2,'Curve Targets'!$G$5+'Curve Targets'!$G$6*B48+'Curve Targets'!$G$7*B48^2+'Curve Targets'!$G$8*B48^3+'Curve Targets'!$G$9*B48^4+'Curve Targets'!$G$10*B48^5+'Curve Targets'!$G$11*B48^6))</x:f>
        <x:v>80.73426568718412</x:v>
      </x:c>
      <x:c r="E48" s="35" t="n">
        <x:f>MAX(0,MIN('Curve Targets'!$K$2,'Curve Targets'!$P$5+'Curve Targets'!$P$6*C48+'Curve Targets'!$P$7*C48^2+'Curve Targets'!$P$8*C48^3+'Curve Targets'!$P$9*C48^4))</x:f>
        <x:v>35.22020500000001</x:v>
      </x:c>
      <x:c r="F48" s="34" t="n">
        <x:f>IF(D48+E48=0,0,D48/(D48+E48))</x:f>
        <x:v>0.6962583262958854</x:v>
      </x:c>
      <x:c r="G48" s="34" t="n">
        <x:f>IF(D48+E48=0,0,E48/(D48+E48))</x:f>
        <x:v>0.30374167370411465</x:v>
      </x:c>
      <x:c r="H48" s="36" t="n">
        <x:f>ROUND(D48+E48,1)</x:f>
        <x:v>116</x:v>
      </x:c>
    </x:row>
    <x:row r="49">
      <x:c r="A49" t="str">
        <x:v>Case 39</x:v>
      </x:c>
      <x:c r="B49" s="34" t="n">
        <x:v>0.5</x:v>
      </x:c>
      <x:c r="C49" s="35" t="n">
        <x:v>4</x:v>
      </x:c>
      <x:c r="D49" s="35" t="n">
        <x:f>MAX(0,MIN('Curve Targets'!$B$2,'Curve Targets'!$G$5+'Curve Targets'!$G$6*B49+'Curve Targets'!$G$7*B49^2+'Curve Targets'!$G$8*B49^3+'Curve Targets'!$G$9*B49^4+'Curve Targets'!$G$10*B49^5+'Curve Targets'!$G$11*B49^6))</x:f>
        <x:v>121.46853131437501</x:v>
      </x:c>
      <x:c r="E49" s="35" t="n">
        <x:f>MAX(0,MIN('Curve Targets'!$K$2,'Curve Targets'!$P$5+'Curve Targets'!$P$6*C49+'Curve Targets'!$P$7*C49^2+'Curve Targets'!$P$8*C49^3+'Curve Targets'!$P$9*C49^4))</x:f>
        <x:v>35.22020500000001</x:v>
      </x:c>
      <x:c r="F49" s="34" t="n">
        <x:f>IF(D49+E49=0,0,D49/(D49+E49))</x:f>
        <x:v>0.775221845370331</x:v>
      </x:c>
      <x:c r="G49" s="34" t="n">
        <x:f>IF(D49+E49=0,0,E49/(D49+E49))</x:f>
        <x:v>0.22477815462966888</x:v>
      </x:c>
      <x:c r="H49" s="36" t="n">
        <x:f>ROUND(D49+E49,1)</x:f>
        <x:v>156.7</x:v>
      </x:c>
    </x:row>
    <x:row r="50">
      <x:c r="A50" t="str">
        <x:v>Case 40</x:v>
      </x:c>
      <x:c r="B50" s="34" t="n">
        <x:v>0.6</x:v>
      </x:c>
      <x:c r="C50" s="35" t="n">
        <x:v>4</x:v>
      </x:c>
      <x:c r="D50" s="35" t="n">
        <x:f>MAX(0,MIN('Curve Targets'!$B$2,'Curve Targets'!$G$5+'Curve Targets'!$G$6*B50+'Curve Targets'!$G$7*B50^2+'Curve Targets'!$G$8*B50^3+'Curve Targets'!$G$9*B50^4+'Curve Targets'!$G$10*B50^5+'Curve Targets'!$G$11*B50^6))</x:f>
        <x:v>157.06293669262354</x:v>
      </x:c>
      <x:c r="E50" s="35" t="n">
        <x:f>MAX(0,MIN('Curve Targets'!$K$2,'Curve Targets'!$P$5+'Curve Targets'!$P$6*C50+'Curve Targets'!$P$7*C50^2+'Curve Targets'!$P$8*C50^3+'Curve Targets'!$P$9*C50^4))</x:f>
        <x:v>35.22020500000001</x:v>
      </x:c>
      <x:c r="F50" s="34" t="n">
        <x:f>IF(D50+E50=0,0,D50/(D50+E50))</x:f>
        <x:v>0.8168315501298514</x:v>
      </x:c>
      <x:c r="G50" s="34" t="n">
        <x:f>IF(D50+E50=0,0,E50/(D50+E50))</x:f>
        <x:v>0.18316844987014866</x:v>
      </x:c>
      <x:c r="H50" s="36" t="n">
        <x:f>ROUND(D50+E50,1)</x:f>
        <x:v>192.3</x:v>
      </x:c>
    </x:row>
    <x:row r="51">
      <x:c r="A51" t="str">
        <x:v>Case 41</x:v>
      </x:c>
      <x:c r="B51" s="34" t="n">
        <x:v>0.7</x:v>
      </x:c>
      <x:c r="C51" s="35" t="n">
        <x:v>4</x:v>
      </x:c>
      <x:c r="D51" s="35" t="n">
        <x:f>MAX(0,MIN('Curve Targets'!$B$2,'Curve Targets'!$G$5+'Curve Targets'!$G$6*B51+'Curve Targets'!$G$7*B51^2+'Curve Targets'!$G$8*B51^3+'Curve Targets'!$G$9*B51^4+'Curve Targets'!$G$10*B51^5+'Curve Targets'!$G$11*B51^6))</x:f>
        <x:v>181.78321602527052</x:v>
      </x:c>
      <x:c r="E51" s="35" t="n">
        <x:f>MAX(0,MIN('Curve Targets'!$K$2,'Curve Targets'!$P$5+'Curve Targets'!$P$6*C51+'Curve Targets'!$P$7*C51^2+'Curve Targets'!$P$8*C51^3+'Curve Targets'!$P$9*C51^4))</x:f>
        <x:v>35.22020500000001</x:v>
      </x:c>
      <x:c r="F51" s="34" t="n">
        <x:f>IF(D51+E51=0,0,D51/(D51+E51))</x:f>
        <x:v>0.8376974665487023</x:v>
      </x:c>
      <x:c r="G51" s="34" t="n">
        <x:f>IF(D51+E51=0,0,E51/(D51+E51))</x:f>
        <x:v>0.1623025334512977</x:v>
      </x:c>
      <x:c r="H51" s="36" t="n">
        <x:f>ROUND(D51+E51,1)</x:f>
        <x:v>217</x:v>
      </x:c>
    </x:row>
    <x:row r="52">
      <x:c r="A52" t="str">
        <x:v>Case 42</x:v>
      </x:c>
      <x:c r="B52" s="34" t="n">
        <x:v>0.8</x:v>
      </x:c>
      <x:c r="C52" s="35" t="n">
        <x:v>4</x:v>
      </x:c>
      <x:c r="D52" s="35" t="n">
        <x:f>MAX(0,MIN('Curve Targets'!$B$2,'Curve Targets'!$G$5+'Curve Targets'!$G$6*B52+'Curve Targets'!$G$7*B52^2+'Curve Targets'!$G$8*B52^3+'Curve Targets'!$G$9*B52^4+'Curve Targets'!$G$10*B52^5+'Curve Targets'!$G$11*B52^6))</x:f>
        <x:v>194.8951034969765</x:v>
      </x:c>
      <x:c r="E52" s="35" t="n">
        <x:f>MAX(0,MIN('Curve Targets'!$K$2,'Curve Targets'!$P$5+'Curve Targets'!$P$6*C52+'Curve Targets'!$P$7*C52^2+'Curve Targets'!$P$8*C52^3+'Curve Targets'!$P$9*C52^4))</x:f>
        <x:v>35.22020500000001</x:v>
      </x:c>
      <x:c r="F52" s="34" t="n">
        <x:f>IF(D52+E52=0,0,D52/(D52+E52))</x:f>
        <x:v>0.8469454065005728</x:v>
      </x:c>
      <x:c r="G52" s="34" t="n">
        <x:f>IF(D52+E52=0,0,E52/(D52+E52))</x:f>
        <x:v>0.1530545934994271</x:v>
      </x:c>
      <x:c r="H52" s="36" t="n">
        <x:f>ROUND(D52+E52,1)</x:f>
        <x:v>230.1</x:v>
      </x:c>
    </x:row>
    <x:row r="53">
      <x:c r="A53" t="str">
        <x:v>Case 43</x:v>
      </x:c>
      <x:c r="B53" s="34" t="n">
        <x:v>0.9</x:v>
      </x:c>
      <x:c r="C53" s="35" t="n">
        <x:v>4</x:v>
      </x:c>
      <x:c r="D53" s="35" t="n">
        <x:f>MAX(0,MIN('Curve Targets'!$B$2,'Curve Targets'!$G$5+'Curve Targets'!$G$6*B53+'Curve Targets'!$G$7*B53^2+'Curve Targets'!$G$8*B53^3+'Curve Targets'!$G$9*B53^4+'Curve Targets'!$G$10*B53^5+'Curve Targets'!$G$11*B53^6))</x:f>
        <x:v>199.70279481143962</x:v>
      </x:c>
      <x:c r="E53" s="35" t="n">
        <x:f>MAX(0,MIN('Curve Targets'!$K$2,'Curve Targets'!$P$5+'Curve Targets'!$P$6*C53+'Curve Targets'!$P$7*C53^2+'Curve Targets'!$P$8*C53^3+'Curve Targets'!$P$9*C53^4))</x:f>
        <x:v>35.22020500000001</x:v>
      </x:c>
      <x:c r="F53" s="34" t="n">
        <x:f>IF(D53+E53=0,0,D53/(D53+E53))</x:f>
        <x:v>0.8500776636248072</x:v>
      </x:c>
      <x:c r="G53" s="34" t="n">
        <x:f>IF(D53+E53=0,0,E53/(D53+E53))</x:f>
        <x:v>0.14992233637519278</x:v>
      </x:c>
      <x:c r="H53" s="36" t="n">
        <x:f>ROUND(D53+E53,1)</x:f>
        <x:v>234.9</x:v>
      </x:c>
    </x:row>
    <x:row r="54">
      <x:c r="A54" t="str">
        <x:v>Case 44</x:v>
      </x:c>
      <x:c r="B54" s="34" t="n">
        <x:v>1</x:v>
      </x:c>
      <x:c r="C54" s="35" t="n">
        <x:v>4</x:v>
      </x:c>
      <x:c r="D54" s="35" t="n">
        <x:f>MAX(0,MIN('Curve Targets'!$B$2,'Curve Targets'!$G$5+'Curve Targets'!$G$6*B54+'Curve Targets'!$G$7*B54^2+'Curve Targets'!$G$8*B54^3+'Curve Targets'!$G$9*B54^4+'Curve Targets'!$G$10*B54^5+'Curve Targets'!$G$11*B54^6))</x:f>
        <x:v>200</x:v>
      </x:c>
      <x:c r="E54" s="35" t="n">
        <x:f>MAX(0,MIN('Curve Targets'!$K$2,'Curve Targets'!$P$5+'Curve Targets'!$P$6*C54+'Curve Targets'!$P$7*C54^2+'Curve Targets'!$P$8*C54^3+'Curve Targets'!$P$9*C54^4))</x:f>
        <x:v>35.22020500000001</x:v>
      </x:c>
      <x:c r="F54" s="34" t="n">
        <x:f>IF(D54+E54=0,0,D54/(D54+E54))</x:f>
        <x:v>0.8502670933391967</x:v>
      </x:c>
      <x:c r="G54" s="34" t="n">
        <x:f>IF(D54+E54=0,0,E54/(D54+E54))</x:f>
        <x:v>0.14973290666080324</x:v>
      </x:c>
      <x:c r="H54" s="36" t="n">
        <x:f>ROUND(D54+E54,1)</x:f>
        <x:v>235.2</x:v>
      </x:c>
    </x:row>
    <x:row r="55">
      <x:c r="A55" t="str">
        <x:v>Case 45</x:v>
      </x:c>
      <x:c r="B55" s="34" t="n">
        <x:v>0</x:v>
      </x:c>
      <x:c r="C55" s="35" t="n">
        <x:v>5</x:v>
      </x:c>
      <x:c r="D55" s="35" t="n">
        <x:f>MAX(0,MIN('Curve Targets'!$B$2,'Curve Targets'!$G$5+'Curve Targets'!$G$6*B55+'Curve Targets'!$G$7*B55^2+'Curve Targets'!$G$8*B55^3+'Curve Targets'!$G$9*B55^4+'Curve Targets'!$G$10*B55^5+'Curve Targets'!$G$11*B55^6))</x:f>
        <x:v>0</x:v>
      </x:c>
      <x:c r="E55" s="35" t="n">
        <x:f>MAX(0,MIN('Curve Targets'!$K$2,'Curve Targets'!$P$5+'Curve Targets'!$P$6*C55+'Curve Targets'!$P$7*C55^2+'Curve Targets'!$P$8*C55^3+'Curve Targets'!$P$9*C55^4))</x:f>
        <x:v>30.711541</x:v>
      </x:c>
      <x:c r="F55" s="34" t="n">
        <x:f>IF(D55+E55=0,0,D55/(D55+E55))</x:f>
        <x:v>0</x:v>
      </x:c>
      <x:c r="G55" s="34" t="n">
        <x:f>IF(D55+E55=0,0,E55/(D55+E55))</x:f>
        <x:v>1</x:v>
      </x:c>
      <x:c r="H55" s="36" t="n">
        <x:f>ROUND(D55+E55,1)</x:f>
        <x:v>30.7</x:v>
      </x:c>
    </x:row>
    <x:row r="56">
      <x:c r="A56" t="str">
        <x:v>Case 46</x:v>
      </x:c>
      <x:c r="B56" s="34" t="n">
        <x:v>0.1</x:v>
      </x:c>
      <x:c r="C56" s="35" t="n">
        <x:v>5</x:v>
      </x:c>
      <x:c r="D56" s="35" t="n">
        <x:f>MAX(0,MIN('Curve Targets'!$B$2,'Curve Targets'!$G$5+'Curve Targets'!$G$6*B56+'Curve Targets'!$G$7*B56^2+'Curve Targets'!$G$8*B56^3+'Curve Targets'!$G$9*B56^4+'Curve Targets'!$G$10*B56^5+'Curve Targets'!$G$11*B56^6))</x:f>
        <x:v>10.227272730879001</x:v>
      </x:c>
      <x:c r="E56" s="35" t="n">
        <x:f>MAX(0,MIN('Curve Targets'!$K$2,'Curve Targets'!$P$5+'Curve Targets'!$P$6*C56+'Curve Targets'!$P$7*C56^2+'Curve Targets'!$P$8*C56^3+'Curve Targets'!$P$9*C56^4))</x:f>
        <x:v>30.711541</x:v>
      </x:c>
      <x:c r="F56" s="34" t="n">
        <x:f>IF(D56+E56=0,0,D56/(D56+E56))</x:f>
        <x:v>0.2498184924973743</x:v>
      </x:c>
      <x:c r="G56" s="34" t="n">
        <x:f>IF(D56+E56=0,0,E56/(D56+E56))</x:f>
        <x:v>0.7501815075026256</x:v>
      </x:c>
      <x:c r="H56" s="36" t="n">
        <x:f>ROUND(D56+E56,1)</x:f>
        <x:v>40.9</x:v>
      </x:c>
    </x:row>
    <x:row r="57">
      <x:c r="A57" t="str">
        <x:v>Case 47</x:v>
      </x:c>
      <x:c r="B57" s="34" t="n">
        <x:v>0.2</x:v>
      </x:c>
      <x:c r="C57" s="35" t="n">
        <x:v>5</x:v>
      </x:c>
      <x:c r="D57" s="35" t="n">
        <x:f>MAX(0,MIN('Curve Targets'!$B$2,'Curve Targets'!$G$5+'Curve Targets'!$G$6*B57+'Curve Targets'!$G$7*B57^2+'Curve Targets'!$G$8*B57^3+'Curve Targets'!$G$9*B57^4+'Curve Targets'!$G$10*B57^5+'Curve Targets'!$G$11*B57^6))</x:f>
        <x:v>20.05244755905601</x:v>
      </x:c>
      <x:c r="E57" s="35" t="n">
        <x:f>MAX(0,MIN('Curve Targets'!$K$2,'Curve Targets'!$P$5+'Curve Targets'!$P$6*C57+'Curve Targets'!$P$7*C57^2+'Curve Targets'!$P$8*C57^3+'Curve Targets'!$P$9*C57^4))</x:f>
        <x:v>30.711541</x:v>
      </x:c>
      <x:c r="F57" s="34" t="n">
        <x:f>IF(D57+E57=0,0,D57/(D57+E57))</x:f>
        <x:v>0.39501323927153803</x:v>
      </x:c>
      <x:c r="G57" s="34" t="n">
        <x:f>IF(D57+E57=0,0,E57/(D57+E57))</x:f>
        <x:v>0.604986760728462</x:v>
      </x:c>
      <x:c r="H57" s="36" t="n">
        <x:f>ROUND(D57+E57,1)</x:f>
        <x:v>50.8</x:v>
      </x:c>
    </x:row>
    <x:row r="58">
      <x:c r="A58" t="str">
        <x:v>Case 48</x:v>
      </x:c>
      <x:c r="B58" s="34" t="n">
        <x:v>0.3</x:v>
      </x:c>
      <x:c r="C58" s="35" t="n">
        <x:v>5</x:v>
      </x:c>
      <x:c r="D58" s="35" t="n">
        <x:f>MAX(0,MIN('Curve Targets'!$B$2,'Curve Targets'!$G$5+'Curve Targets'!$G$6*B58+'Curve Targets'!$G$7*B58^2+'Curve Targets'!$G$8*B58^3+'Curve Targets'!$G$9*B58^4+'Curve Targets'!$G$10*B58^5+'Curve Targets'!$G$11*B58^6))</x:f>
        <x:v>44.055944052190966</x:v>
      </x:c>
      <x:c r="E58" s="35" t="n">
        <x:f>MAX(0,MIN('Curve Targets'!$K$2,'Curve Targets'!$P$5+'Curve Targets'!$P$6*C58+'Curve Targets'!$P$7*C58^2+'Curve Targets'!$P$8*C58^3+'Curve Targets'!$P$9*C58^4))</x:f>
        <x:v>30.711541</x:v>
      </x:c>
      <x:c r="F58" s="34" t="n">
        <x:f>IF(D58+E58=0,0,D58/(D58+E58))</x:f>
        <x:v>0.5892393467753797</x:v>
      </x:c>
      <x:c r="G58" s="34" t="n">
        <x:f>IF(D58+E58=0,0,E58/(D58+E58))</x:f>
        <x:v>0.4107606532246204</x:v>
      </x:c>
      <x:c r="H58" s="36" t="n">
        <x:f>ROUND(D58+E58,1)</x:f>
        <x:v>74.8</x:v>
      </x:c>
    </x:row>
    <x:row r="59">
      <x:c r="A59" t="str">
        <x:v>Case 49</x:v>
      </x:c>
      <x:c r="B59" s="34" t="n">
        <x:v>0.4</x:v>
      </x:c>
      <x:c r="C59" s="35" t="n">
        <x:v>5</x:v>
      </x:c>
      <x:c r="D59" s="35" t="n">
        <x:f>MAX(0,MIN('Curve Targets'!$B$2,'Curve Targets'!$G$5+'Curve Targets'!$G$6*B59+'Curve Targets'!$G$7*B59^2+'Curve Targets'!$G$8*B59^3+'Curve Targets'!$G$9*B59^4+'Curve Targets'!$G$10*B59^5+'Curve Targets'!$G$11*B59^6))</x:f>
        <x:v>80.73426568718412</x:v>
      </x:c>
      <x:c r="E59" s="35" t="n">
        <x:f>MAX(0,MIN('Curve Targets'!$K$2,'Curve Targets'!$P$5+'Curve Targets'!$P$6*C59+'Curve Targets'!$P$7*C59^2+'Curve Targets'!$P$8*C59^3+'Curve Targets'!$P$9*C59^4))</x:f>
        <x:v>30.711541</x:v>
      </x:c>
      <x:c r="F59" s="34" t="n">
        <x:f>IF(D59+E59=0,0,D59/(D59+E59))</x:f>
        <x:v>0.724426230892618</x:v>
      </x:c>
      <x:c r="G59" s="34" t="n">
        <x:f>IF(D59+E59=0,0,E59/(D59+E59))</x:f>
        <x:v>0.27557376910738196</x:v>
      </x:c>
      <x:c r="H59" s="36" t="n">
        <x:f>ROUND(D59+E59,1)</x:f>
        <x:v>111.4</x:v>
      </x:c>
    </x:row>
    <x:row r="60">
      <x:c r="A60" t="str">
        <x:v>Case 50</x:v>
      </x:c>
      <x:c r="B60" s="34" t="n">
        <x:v>0.5</x:v>
      </x:c>
      <x:c r="C60" s="35" t="n">
        <x:v>5</x:v>
      </x:c>
      <x:c r="D60" s="35" t="n">
        <x:f>MAX(0,MIN('Curve Targets'!$B$2,'Curve Targets'!$G$5+'Curve Targets'!$G$6*B60+'Curve Targets'!$G$7*B60^2+'Curve Targets'!$G$8*B60^3+'Curve Targets'!$G$9*B60^4+'Curve Targets'!$G$10*B60^5+'Curve Targets'!$G$11*B60^6))</x:f>
        <x:v>121.46853131437501</x:v>
      </x:c>
      <x:c r="E60" s="35" t="n">
        <x:f>MAX(0,MIN('Curve Targets'!$K$2,'Curve Targets'!$P$5+'Curve Targets'!$P$6*C60+'Curve Targets'!$P$7*C60^2+'Curve Targets'!$P$8*C60^3+'Curve Targets'!$P$9*C60^4))</x:f>
        <x:v>30.711541</x:v>
      </x:c>
      <x:c r="F60" s="34" t="n">
        <x:f>IF(D60+E60=0,0,D60/(D60+E60))</x:f>
        <x:v>0.7981894703233166</x:v>
      </x:c>
      <x:c r="G60" s="34" t="n">
        <x:f>IF(D60+E60=0,0,E60/(D60+E60))</x:f>
        <x:v>0.20181052967668336</x:v>
      </x:c>
      <x:c r="H60" s="36" t="n">
        <x:f>ROUND(D60+E60,1)</x:f>
        <x:v>152.2</x:v>
      </x:c>
    </x:row>
    <x:row r="61">
      <x:c r="A61" t="str">
        <x:v>Case 51</x:v>
      </x:c>
      <x:c r="B61" s="34" t="n">
        <x:v>0.6</x:v>
      </x:c>
      <x:c r="C61" s="35" t="n">
        <x:v>5</x:v>
      </x:c>
      <x:c r="D61" s="35" t="n">
        <x:f>MAX(0,MIN('Curve Targets'!$B$2,'Curve Targets'!$G$5+'Curve Targets'!$G$6*B61+'Curve Targets'!$G$7*B61^2+'Curve Targets'!$G$8*B61^3+'Curve Targets'!$G$9*B61^4+'Curve Targets'!$G$10*B61^5+'Curve Targets'!$G$11*B61^6))</x:f>
        <x:v>157.06293669262354</x:v>
      </x:c>
      <x:c r="E61" s="35" t="n">
        <x:f>MAX(0,MIN('Curve Targets'!$K$2,'Curve Targets'!$P$5+'Curve Targets'!$P$6*C61+'Curve Targets'!$P$7*C61^2+'Curve Targets'!$P$8*C61^3+'Curve Targets'!$P$9*C61^4))</x:f>
        <x:v>30.711541</x:v>
      </x:c>
      <x:c r="F61" s="34" t="n">
        <x:f>IF(D61+E61=0,0,D61/(D61+E61))</x:f>
        <x:v>0.8364445404008892</x:v>
      </x:c>
      <x:c r="G61" s="34" t="n">
        <x:f>IF(D61+E61=0,0,E61/(D61+E61))</x:f>
        <x:v>0.1635554595991107</x:v>
      </x:c>
      <x:c r="H61" s="36" t="n">
        <x:f>ROUND(D61+E61,1)</x:f>
        <x:v>187.8</x:v>
      </x:c>
    </x:row>
    <x:row r="62">
      <x:c r="A62" t="str">
        <x:v>Case 52</x:v>
      </x:c>
      <x:c r="B62" s="34" t="n">
        <x:v>0.7</x:v>
      </x:c>
      <x:c r="C62" s="35" t="n">
        <x:v>5</x:v>
      </x:c>
      <x:c r="D62" s="35" t="n">
        <x:f>MAX(0,MIN('Curve Targets'!$B$2,'Curve Targets'!$G$5+'Curve Targets'!$G$6*B62+'Curve Targets'!$G$7*B62^2+'Curve Targets'!$G$8*B62^3+'Curve Targets'!$G$9*B62^4+'Curve Targets'!$G$10*B62^5+'Curve Targets'!$G$11*B62^6))</x:f>
        <x:v>181.78321602527052</x:v>
      </x:c>
      <x:c r="E62" s="35" t="n">
        <x:f>MAX(0,MIN('Curve Targets'!$K$2,'Curve Targets'!$P$5+'Curve Targets'!$P$6*C62+'Curve Targets'!$P$7*C62^2+'Curve Targets'!$P$8*C62^3+'Curve Targets'!$P$9*C62^4))</x:f>
        <x:v>30.711541</x:v>
      </x:c>
      <x:c r="F62" s="34" t="n">
        <x:f>IF(D62+E62=0,0,D62/(D62+E62))</x:f>
        <x:v>0.8554715352513488</x:v>
      </x:c>
      <x:c r="G62" s="34" t="n">
        <x:f>IF(D62+E62=0,0,E62/(D62+E62))</x:f>
        <x:v>0.14452846474865114</x:v>
      </x:c>
      <x:c r="H62" s="36" t="n">
        <x:f>ROUND(D62+E62,1)</x:f>
        <x:v>212.5</x:v>
      </x:c>
    </x:row>
    <x:row r="63">
      <x:c r="A63" t="str">
        <x:v>Case 53</x:v>
      </x:c>
      <x:c r="B63" s="34" t="n">
        <x:v>0.8</x:v>
      </x:c>
      <x:c r="C63" s="35" t="n">
        <x:v>5</x:v>
      </x:c>
      <x:c r="D63" s="35" t="n">
        <x:f>MAX(0,MIN('Curve Targets'!$B$2,'Curve Targets'!$G$5+'Curve Targets'!$G$6*B63+'Curve Targets'!$G$7*B63^2+'Curve Targets'!$G$8*B63^3+'Curve Targets'!$G$9*B63^4+'Curve Targets'!$G$10*B63^5+'Curve Targets'!$G$11*B63^6))</x:f>
        <x:v>194.8951034969765</x:v>
      </x:c>
      <x:c r="E63" s="35" t="n">
        <x:f>MAX(0,MIN('Curve Targets'!$K$2,'Curve Targets'!$P$5+'Curve Targets'!$P$6*C63+'Curve Targets'!$P$7*C63^2+'Curve Targets'!$P$8*C63^3+'Curve Targets'!$P$9*C63^4))</x:f>
        <x:v>30.711541</x:v>
      </x:c>
      <x:c r="F63" s="34" t="n">
        <x:f>IF(D63+E63=0,0,D63/(D63+E63))</x:f>
        <x:v>0.8638712921400168</x:v>
      </x:c>
      <x:c r="G63" s="34" t="n">
        <x:f>IF(D63+E63=0,0,E63/(D63+E63))</x:f>
        <x:v>0.13612870785998318</x:v>
      </x:c>
      <x:c r="H63" s="36" t="n">
        <x:f>ROUND(D63+E63,1)</x:f>
        <x:v>225.6</x:v>
      </x:c>
    </x:row>
    <x:row r="64">
      <x:c r="A64" t="str">
        <x:v>Case 54</x:v>
      </x:c>
      <x:c r="B64" s="34" t="n">
        <x:v>0.9</x:v>
      </x:c>
      <x:c r="C64" s="35" t="n">
        <x:v>5</x:v>
      </x:c>
      <x:c r="D64" s="35" t="n">
        <x:f>MAX(0,MIN('Curve Targets'!$B$2,'Curve Targets'!$G$5+'Curve Targets'!$G$6*B64+'Curve Targets'!$G$7*B64^2+'Curve Targets'!$G$8*B64^3+'Curve Targets'!$G$9*B64^4+'Curve Targets'!$G$10*B64^5+'Curve Targets'!$G$11*B64^6))</x:f>
        <x:v>199.70279481143962</x:v>
      </x:c>
      <x:c r="E64" s="35" t="n">
        <x:f>MAX(0,MIN('Curve Targets'!$K$2,'Curve Targets'!$P$5+'Curve Targets'!$P$6*C64+'Curve Targets'!$P$7*C64^2+'Curve Targets'!$P$8*C64^3+'Curve Targets'!$P$9*C64^4))</x:f>
        <x:v>30.711541</x:v>
      </x:c>
      <x:c r="F64" s="34" t="n">
        <x:f>IF(D64+E64=0,0,D64/(D64+E64))</x:f>
        <x:v>0.8667116744631163</x:v>
      </x:c>
      <x:c r="G64" s="34" t="n">
        <x:f>IF(D64+E64=0,0,E64/(D64+E64))</x:f>
        <x:v>0.1332883255368837</x:v>
      </x:c>
      <x:c r="H64" s="36" t="n">
        <x:f>ROUND(D64+E64,1)</x:f>
        <x:v>230.4</x:v>
      </x:c>
    </x:row>
    <x:row r="65">
      <x:c r="A65" t="str">
        <x:v>Case 55</x:v>
      </x:c>
      <x:c r="B65" s="34" t="n">
        <x:v>1</x:v>
      </x:c>
      <x:c r="C65" s="35" t="n">
        <x:v>5</x:v>
      </x:c>
      <x:c r="D65" s="35" t="n">
        <x:f>MAX(0,MIN('Curve Targets'!$B$2,'Curve Targets'!$G$5+'Curve Targets'!$G$6*B65+'Curve Targets'!$G$7*B65^2+'Curve Targets'!$G$8*B65^3+'Curve Targets'!$G$9*B65^4+'Curve Targets'!$G$10*B65^5+'Curve Targets'!$G$11*B65^6))</x:f>
        <x:v>200</x:v>
      </x:c>
      <x:c r="E65" s="35" t="n">
        <x:f>MAX(0,MIN('Curve Targets'!$K$2,'Curve Targets'!$P$5+'Curve Targets'!$P$6*C65+'Curve Targets'!$P$7*C65^2+'Curve Targets'!$P$8*C65^3+'Curve Targets'!$P$9*C65^4))</x:f>
        <x:v>30.711541</x:v>
      </x:c>
      <x:c r="F65" s="34" t="n">
        <x:f>IF(D65+E65=0,0,D65/(D65+E65))</x:f>
        <x:v>0.8668833779754433</x:v>
      </x:c>
      <x:c r="G65" s="34" t="n">
        <x:f>IF(D65+E65=0,0,E65/(D65+E65))</x:f>
        <x:v>0.13311662202455662</x:v>
      </x:c>
      <x:c r="H65" s="36" t="n">
        <x:f>ROUND(D65+E65,1)</x:f>
        <x:v>230.7</x:v>
      </x:c>
    </x:row>
    <x:row r="66">
      <x:c r="A66" t="str">
        <x:v>Case 56</x:v>
      </x:c>
      <x:c r="B66" s="34" t="n">
        <x:v>0</x:v>
      </x:c>
      <x:c r="C66" s="35" t="n">
        <x:v>7</x:v>
      </x:c>
      <x:c r="D66" s="35" t="n">
        <x:f>MAX(0,MIN('Curve Targets'!$B$2,'Curve Targets'!$G$5+'Curve Targets'!$G$6*B66+'Curve Targets'!$G$7*B66^2+'Curve Targets'!$G$8*B66^3+'Curve Targets'!$G$9*B66^4+'Curve Targets'!$G$10*B66^5+'Curve Targets'!$G$11*B66^6))</x:f>
        <x:v>0</x:v>
      </x:c>
      <x:c r="E66" s="35" t="n">
        <x:f>MAX(0,MIN('Curve Targets'!$K$2,'Curve Targets'!$P$5+'Curve Targets'!$P$6*C66+'Curve Targets'!$P$7*C66^2+'Curve Targets'!$P$8*C66^3+'Curve Targets'!$P$9*C66^4))</x:f>
        <x:v>23.192455000000006</x:v>
      </x:c>
      <x:c r="F66" s="34" t="n">
        <x:f>IF(D66+E66=0,0,D66/(D66+E66))</x:f>
        <x:v>0</x:v>
      </x:c>
      <x:c r="G66" s="34" t="n">
        <x:f>IF(D66+E66=0,0,E66/(D66+E66))</x:f>
        <x:v>1</x:v>
      </x:c>
      <x:c r="H66" s="36" t="n">
        <x:f>ROUND(D66+E66,1)</x:f>
        <x:v>23.2</x:v>
      </x:c>
    </x:row>
    <x:row r="67">
      <x:c r="A67" t="str">
        <x:v>Case 57</x:v>
      </x:c>
      <x:c r="B67" s="34" t="n">
        <x:v>0.1</x:v>
      </x:c>
      <x:c r="C67" s="35" t="n">
        <x:v>7</x:v>
      </x:c>
      <x:c r="D67" s="35" t="n">
        <x:f>MAX(0,MIN('Curve Targets'!$B$2,'Curve Targets'!$G$5+'Curve Targets'!$G$6*B67+'Curve Targets'!$G$7*B67^2+'Curve Targets'!$G$8*B67^3+'Curve Targets'!$G$9*B67^4+'Curve Targets'!$G$10*B67^5+'Curve Targets'!$G$11*B67^6))</x:f>
        <x:v>10.227272730879001</x:v>
      </x:c>
      <x:c r="E67" s="35" t="n">
        <x:f>MAX(0,MIN('Curve Targets'!$K$2,'Curve Targets'!$P$5+'Curve Targets'!$P$6*C67+'Curve Targets'!$P$7*C67^2+'Curve Targets'!$P$8*C67^3+'Curve Targets'!$P$9*C67^4))</x:f>
        <x:v>23.192455000000006</x:v>
      </x:c>
      <x:c r="F67" s="34" t="n">
        <x:f>IF(D67+E67=0,0,D67/(D67+E67))</x:f>
        <x:v>0.30602501651829</x:v>
      </x:c>
      <x:c r="G67" s="34" t="n">
        <x:f>IF(D67+E67=0,0,E67/(D67+E67))</x:f>
        <x:v>0.6939749834817102</x:v>
      </x:c>
      <x:c r="H67" s="36" t="n">
        <x:f>ROUND(D67+E67,1)</x:f>
        <x:v>33.4</x:v>
      </x:c>
    </x:row>
    <x:row r="68">
      <x:c r="A68" t="str">
        <x:v>Case 58</x:v>
      </x:c>
      <x:c r="B68" s="34" t="n">
        <x:v>0.2</x:v>
      </x:c>
      <x:c r="C68" s="35" t="n">
        <x:v>7</x:v>
      </x:c>
      <x:c r="D68" s="35" t="n">
        <x:f>MAX(0,MIN('Curve Targets'!$B$2,'Curve Targets'!$G$5+'Curve Targets'!$G$6*B68+'Curve Targets'!$G$7*B68^2+'Curve Targets'!$G$8*B68^3+'Curve Targets'!$G$9*B68^4+'Curve Targets'!$G$10*B68^5+'Curve Targets'!$G$11*B68^6))</x:f>
        <x:v>20.05244755905601</x:v>
      </x:c>
      <x:c r="E68" s="35" t="n">
        <x:f>MAX(0,MIN('Curve Targets'!$K$2,'Curve Targets'!$P$5+'Curve Targets'!$P$6*C68+'Curve Targets'!$P$7*C68^2+'Curve Targets'!$P$8*C68^3+'Curve Targets'!$P$9*C68^4))</x:f>
        <x:v>23.192455000000006</x:v>
      </x:c>
      <x:c r="F68" s="34" t="n">
        <x:f>IF(D68+E68=0,0,D68/(D68+E68))</x:f>
        <x:v>0.4636950570456721</x:v>
      </x:c>
      <x:c r="G68" s="34" t="n">
        <x:f>IF(D68+E68=0,0,E68/(D68+E68))</x:f>
        <x:v>0.536304942954328</x:v>
      </x:c>
      <x:c r="H68" s="36" t="n">
        <x:f>ROUND(D68+E68,1)</x:f>
        <x:v>43.2</x:v>
      </x:c>
    </x:row>
    <x:row r="69">
      <x:c r="A69" t="str">
        <x:v>Case 59</x:v>
      </x:c>
      <x:c r="B69" s="34" t="n">
        <x:v>0.3</x:v>
      </x:c>
      <x:c r="C69" s="35" t="n">
        <x:v>7</x:v>
      </x:c>
      <x:c r="D69" s="35" t="n">
        <x:f>MAX(0,MIN('Curve Targets'!$B$2,'Curve Targets'!$G$5+'Curve Targets'!$G$6*B69+'Curve Targets'!$G$7*B69^2+'Curve Targets'!$G$8*B69^3+'Curve Targets'!$G$9*B69^4+'Curve Targets'!$G$10*B69^5+'Curve Targets'!$G$11*B69^6))</x:f>
        <x:v>44.055944052190966</x:v>
      </x:c>
      <x:c r="E69" s="35" t="n">
        <x:f>MAX(0,MIN('Curve Targets'!$K$2,'Curve Targets'!$P$5+'Curve Targets'!$P$6*C69+'Curve Targets'!$P$7*C69^2+'Curve Targets'!$P$8*C69^3+'Curve Targets'!$P$9*C69^4))</x:f>
        <x:v>23.192455000000006</x:v>
      </x:c>
      <x:c r="F69" s="34" t="n">
        <x:f>IF(D69+E69=0,0,D69/(D69+E69))</x:f>
        <x:v>0.6551225705462442</x:v>
      </x:c>
      <x:c r="G69" s="34" t="n">
        <x:f>IF(D69+E69=0,0,E69/(D69+E69))</x:f>
        <x:v>0.3448774294537557</x:v>
      </x:c>
      <x:c r="H69" s="36" t="n">
        <x:f>ROUND(D69+E69,1)</x:f>
        <x:v>67.2</x:v>
      </x:c>
    </x:row>
    <x:row r="70">
      <x:c r="A70" t="str">
        <x:v>Case 60</x:v>
      </x:c>
      <x:c r="B70" s="34" t="n">
        <x:v>0.4</x:v>
      </x:c>
      <x:c r="C70" s="35" t="n">
        <x:v>7</x:v>
      </x:c>
      <x:c r="D70" s="35" t="n">
        <x:f>MAX(0,MIN('Curve Targets'!$B$2,'Curve Targets'!$G$5+'Curve Targets'!$G$6*B70+'Curve Targets'!$G$7*B70^2+'Curve Targets'!$G$8*B70^3+'Curve Targets'!$G$9*B70^4+'Curve Targets'!$G$10*B70^5+'Curve Targets'!$G$11*B70^6))</x:f>
        <x:v>80.73426568718412</x:v>
      </x:c>
      <x:c r="E70" s="35" t="n">
        <x:f>MAX(0,MIN('Curve Targets'!$K$2,'Curve Targets'!$P$5+'Curve Targets'!$P$6*C70+'Curve Targets'!$P$7*C70^2+'Curve Targets'!$P$8*C70^3+'Curve Targets'!$P$9*C70^4))</x:f>
        <x:v>23.192455000000006</x:v>
      </x:c>
      <x:c r="F70" s="34" t="n">
        <x:f>IF(D70+E70=0,0,D70/(D70+E70))</x:f>
        <x:v>0.7768383833662134</x:v>
      </x:c>
      <x:c r="G70" s="34" t="n">
        <x:f>IF(D70+E70=0,0,E70/(D70+E70))</x:f>
        <x:v>0.2231616166337866</x:v>
      </x:c>
      <x:c r="H70" s="36" t="n">
        <x:f>ROUND(D70+E70,1)</x:f>
        <x:v>103.9</x:v>
      </x:c>
    </x:row>
    <x:row r="71">
      <x:c r="A71" t="str">
        <x:v>Case 61</x:v>
      </x:c>
      <x:c r="B71" s="34" t="n">
        <x:v>0.5</x:v>
      </x:c>
      <x:c r="C71" s="35" t="n">
        <x:v>7</x:v>
      </x:c>
      <x:c r="D71" s="35" t="n">
        <x:f>MAX(0,MIN('Curve Targets'!$B$2,'Curve Targets'!$G$5+'Curve Targets'!$G$6*B71+'Curve Targets'!$G$7*B71^2+'Curve Targets'!$G$8*B71^3+'Curve Targets'!$G$9*B71^4+'Curve Targets'!$G$10*B71^5+'Curve Targets'!$G$11*B71^6))</x:f>
        <x:v>121.46853131437501</x:v>
      </x:c>
      <x:c r="E71" s="35" t="n">
        <x:f>MAX(0,MIN('Curve Targets'!$K$2,'Curve Targets'!$P$5+'Curve Targets'!$P$6*C71+'Curve Targets'!$P$7*C71^2+'Curve Targets'!$P$8*C71^3+'Curve Targets'!$P$9*C71^4))</x:f>
        <x:v>23.192455000000006</x:v>
      </x:c>
      <x:c r="F71" s="34" t="n">
        <x:f>IF(D71+E71=0,0,D71/(D71+E71))</x:f>
        <x:v>0.839677195691183</x:v>
      </x:c>
      <x:c r="G71" s="34" t="n">
        <x:f>IF(D71+E71=0,0,E71/(D71+E71))</x:f>
        <x:v>0.16032280430881704</x:v>
      </x:c>
      <x:c r="H71" s="36" t="n">
        <x:f>ROUND(D71+E71,1)</x:f>
        <x:v>144.7</x:v>
      </x:c>
    </x:row>
    <x:row r="72">
      <x:c r="A72" t="str">
        <x:v>Case 62</x:v>
      </x:c>
      <x:c r="B72" s="34" t="n">
        <x:v>0.6</x:v>
      </x:c>
      <x:c r="C72" s="35" t="n">
        <x:v>7</x:v>
      </x:c>
      <x:c r="D72" s="35" t="n">
        <x:f>MAX(0,MIN('Curve Targets'!$B$2,'Curve Targets'!$G$5+'Curve Targets'!$G$6*B72+'Curve Targets'!$G$7*B72^2+'Curve Targets'!$G$8*B72^3+'Curve Targets'!$G$9*B72^4+'Curve Targets'!$G$10*B72^5+'Curve Targets'!$G$11*B72^6))</x:f>
        <x:v>157.06293669262354</x:v>
      </x:c>
      <x:c r="E72" s="35" t="n">
        <x:f>MAX(0,MIN('Curve Targets'!$K$2,'Curve Targets'!$P$5+'Curve Targets'!$P$6*C72+'Curve Targets'!$P$7*C72^2+'Curve Targets'!$P$8*C72^3+'Curve Targets'!$P$9*C72^4))</x:f>
        <x:v>23.192455000000006</x:v>
      </x:c>
      <x:c r="F72" s="34" t="n">
        <x:f>IF(D72+E72=0,0,D72/(D72+E72))</x:f>
        <x:v>0.8713355823522416</x:v>
      </x:c>
      <x:c r="G72" s="34" t="n">
        <x:f>IF(D72+E72=0,0,E72/(D72+E72))</x:f>
        <x:v>0.12866441764775846</x:v>
      </x:c>
      <x:c r="H72" s="36" t="n">
        <x:f>ROUND(D72+E72,1)</x:f>
        <x:v>180.3</x:v>
      </x:c>
    </x:row>
    <x:row r="73">
      <x:c r="A73" t="str">
        <x:v>Case 63</x:v>
      </x:c>
      <x:c r="B73" s="34" t="n">
        <x:v>0.7</x:v>
      </x:c>
      <x:c r="C73" s="35" t="n">
        <x:v>7</x:v>
      </x:c>
      <x:c r="D73" s="35" t="n">
        <x:f>MAX(0,MIN('Curve Targets'!$B$2,'Curve Targets'!$G$5+'Curve Targets'!$G$6*B73+'Curve Targets'!$G$7*B73^2+'Curve Targets'!$G$8*B73^3+'Curve Targets'!$G$9*B73^4+'Curve Targets'!$G$10*B73^5+'Curve Targets'!$G$11*B73^6))</x:f>
        <x:v>181.78321602527052</x:v>
      </x:c>
      <x:c r="E73" s="35" t="n">
        <x:f>MAX(0,MIN('Curve Targets'!$K$2,'Curve Targets'!$P$5+'Curve Targets'!$P$6*C73+'Curve Targets'!$P$7*C73^2+'Curve Targets'!$P$8*C73^3+'Curve Targets'!$P$9*C73^4))</x:f>
        <x:v>23.192455000000006</x:v>
      </x:c>
      <x:c r="F73" s="34" t="n">
        <x:f>IF(D73+E73=0,0,D73/(D73+E73))</x:f>
        <x:v>0.8868526450773726</x:v>
      </x:c>
      <x:c r="G73" s="34" t="n">
        <x:f>IF(D73+E73=0,0,E73/(D73+E73))</x:f>
        <x:v>0.11314735492262745</x:v>
      </x:c>
      <x:c r="H73" s="36" t="n">
        <x:f>ROUND(D73+E73,1)</x:f>
        <x:v>205</x:v>
      </x:c>
    </x:row>
    <x:row r="74">
      <x:c r="A74" t="str">
        <x:v>Case 64</x:v>
      </x:c>
      <x:c r="B74" s="34" t="n">
        <x:v>0.8</x:v>
      </x:c>
      <x:c r="C74" s="35" t="n">
        <x:v>7</x:v>
      </x:c>
      <x:c r="D74" s="35" t="n">
        <x:f>MAX(0,MIN('Curve Targets'!$B$2,'Curve Targets'!$G$5+'Curve Targets'!$G$6*B74+'Curve Targets'!$G$7*B74^2+'Curve Targets'!$G$8*B74^3+'Curve Targets'!$G$9*B74^4+'Curve Targets'!$G$10*B74^5+'Curve Targets'!$G$11*B74^6))</x:f>
        <x:v>194.8951034969765</x:v>
      </x:c>
      <x:c r="E74" s="35" t="n">
        <x:f>MAX(0,MIN('Curve Targets'!$K$2,'Curve Targets'!$P$5+'Curve Targets'!$P$6*C74+'Curve Targets'!$P$7*C74^2+'Curve Targets'!$P$8*C74^3+'Curve Targets'!$P$9*C74^4))</x:f>
        <x:v>23.192455000000006</x:v>
      </x:c>
      <x:c r="F74" s="34" t="n">
        <x:f>IF(D74+E74=0,0,D74/(D74+E74))</x:f>
        <x:v>0.893655304503207</x:v>
      </x:c>
      <x:c r="G74" s="34" t="n">
        <x:f>IF(D74+E74=0,0,E74/(D74+E74))</x:f>
        <x:v>0.10634469549679304</x:v>
      </x:c>
      <x:c r="H74" s="36" t="n">
        <x:f>ROUND(D74+E74,1)</x:f>
        <x:v>218.1</x:v>
      </x:c>
    </x:row>
    <x:row r="75">
      <x:c r="A75" t="str">
        <x:v>Case 65</x:v>
      </x:c>
      <x:c r="B75" s="34" t="n">
        <x:v>0.9</x:v>
      </x:c>
      <x:c r="C75" s="35" t="n">
        <x:v>7</x:v>
      </x:c>
      <x:c r="D75" s="35" t="n">
        <x:f>MAX(0,MIN('Curve Targets'!$B$2,'Curve Targets'!$G$5+'Curve Targets'!$G$6*B75+'Curve Targets'!$G$7*B75^2+'Curve Targets'!$G$8*B75^3+'Curve Targets'!$G$9*B75^4+'Curve Targets'!$G$10*B75^5+'Curve Targets'!$G$11*B75^6))</x:f>
        <x:v>199.70279481143962</x:v>
      </x:c>
      <x:c r="E75" s="35" t="n">
        <x:f>MAX(0,MIN('Curve Targets'!$K$2,'Curve Targets'!$P$5+'Curve Targets'!$P$6*C75+'Curve Targets'!$P$7*C75^2+'Curve Targets'!$P$8*C75^3+'Curve Targets'!$P$9*C75^4))</x:f>
        <x:v>23.192455000000006</x:v>
      </x:c>
      <x:c r="F75" s="34" t="n">
        <x:f>IF(D75+E75=0,0,D75/(D75+E75))</x:f>
        <x:v>0.8959490836183369</x:v>
      </x:c>
      <x:c r="G75" s="34" t="n">
        <x:f>IF(D75+E75=0,0,E75/(D75+E75))</x:f>
        <x:v>0.10405091638166308</x:v>
      </x:c>
      <x:c r="H75" s="36" t="n">
        <x:f>ROUND(D75+E75,1)</x:f>
        <x:v>222.9</x:v>
      </x:c>
    </x:row>
    <x:row r="76">
      <x:c r="A76" t="str">
        <x:v>Case 66</x:v>
      </x:c>
      <x:c r="B76" s="34" t="n">
        <x:v>1</x:v>
      </x:c>
      <x:c r="C76" s="35" t="n">
        <x:v>7</x:v>
      </x:c>
      <x:c r="D76" s="35" t="n">
        <x:f>MAX(0,MIN('Curve Targets'!$B$2,'Curve Targets'!$G$5+'Curve Targets'!$G$6*B76+'Curve Targets'!$G$7*B76^2+'Curve Targets'!$G$8*B76^3+'Curve Targets'!$G$9*B76^4+'Curve Targets'!$G$10*B76^5+'Curve Targets'!$G$11*B76^6))</x:f>
        <x:v>200</x:v>
      </x:c>
      <x:c r="E76" s="35" t="n">
        <x:f>MAX(0,MIN('Curve Targets'!$K$2,'Curve Targets'!$P$5+'Curve Targets'!$P$6*C76+'Curve Targets'!$P$7*C76^2+'Curve Targets'!$P$8*C76^3+'Curve Targets'!$P$9*C76^4))</x:f>
        <x:v>23.192455000000006</x:v>
      </x:c>
      <x:c r="F76" s="34" t="n">
        <x:f>IF(D76+E76=0,0,D76/(D76+E76))</x:f>
        <x:v>0.8960876388048153</x:v>
      </x:c>
      <x:c r="G76" s="34" t="n">
        <x:f>IF(D76+E76=0,0,E76/(D76+E76))</x:f>
        <x:v>0.1039123611951847</x:v>
      </x:c>
      <x:c r="H76" s="36" t="n">
        <x:f>ROUND(D76+E76,1)</x:f>
        <x:v>223.2</x:v>
      </x:c>
    </x:row>
    <x:row r="77">
      <x:c r="A77" t="str">
        <x:v>Case 67</x:v>
      </x:c>
      <x:c r="B77" s="34" t="n">
        <x:v>0</x:v>
      </x:c>
      <x:c r="C77" s="35" t="n">
        <x:v>10</x:v>
      </x:c>
      <x:c r="D77" s="35" t="n">
        <x:f>MAX(0,MIN('Curve Targets'!$B$2,'Curve Targets'!$G$5+'Curve Targets'!$G$6*B77+'Curve Targets'!$G$7*B77^2+'Curve Targets'!$G$8*B77^3+'Curve Targets'!$G$9*B77^4+'Curve Targets'!$G$10*B77^5+'Curve Targets'!$G$11*B77^6))</x:f>
        <x:v>0</x:v>
      </x:c>
      <x:c r="E77" s="35" t="n">
        <x:f>MAX(0,MIN('Curve Targets'!$K$2,'Curve Targets'!$P$5+'Curve Targets'!$P$6*C77+'Curve Targets'!$P$7*C77^2+'Curve Targets'!$P$8*C77^3+'Curve Targets'!$P$9*C77^4))</x:f>
        <x:v>16.290151000000005</x:v>
      </x:c>
      <x:c r="F77" s="34" t="n">
        <x:f>IF(D77+E77=0,0,D77/(D77+E77))</x:f>
        <x:v>0</x:v>
      </x:c>
      <x:c r="G77" s="34" t="n">
        <x:f>IF(D77+E77=0,0,E77/(D77+E77))</x:f>
        <x:v>1</x:v>
      </x:c>
      <x:c r="H77" s="36" t="n">
        <x:f>ROUND(D77+E77,1)</x:f>
        <x:v>16.3</x:v>
      </x:c>
    </x:row>
    <x:row r="78">
      <x:c r="A78" t="str">
        <x:v>Case 68</x:v>
      </x:c>
      <x:c r="B78" s="34" t="n">
        <x:v>0.1</x:v>
      </x:c>
      <x:c r="C78" s="35" t="n">
        <x:v>10</x:v>
      </x:c>
      <x:c r="D78" s="35" t="n">
        <x:f>MAX(0,MIN('Curve Targets'!$B$2,'Curve Targets'!$G$5+'Curve Targets'!$G$6*B78+'Curve Targets'!$G$7*B78^2+'Curve Targets'!$G$8*B78^3+'Curve Targets'!$G$9*B78^4+'Curve Targets'!$G$10*B78^5+'Curve Targets'!$G$11*B78^6))</x:f>
        <x:v>10.227272730879001</x:v>
      </x:c>
      <x:c r="E78" s="35" t="n">
        <x:f>MAX(0,MIN('Curve Targets'!$K$2,'Curve Targets'!$P$5+'Curve Targets'!$P$6*C78+'Curve Targets'!$P$7*C78^2+'Curve Targets'!$P$8*C78^3+'Curve Targets'!$P$9*C78^4))</x:f>
        <x:v>16.290151000000005</x:v>
      </x:c>
      <x:c r="F78" s="34" t="n">
        <x:f>IF(D78+E78=0,0,D78/(D78+E78))</x:f>
        <x:v>0.38568123489951056</x:v>
      </x:c>
      <x:c r="G78" s="34" t="n">
        <x:f>IF(D78+E78=0,0,E78/(D78+E78))</x:f>
        <x:v>0.6143187651004894</x:v>
      </x:c>
      <x:c r="H78" s="36" t="n">
        <x:f>ROUND(D78+E78,1)</x:f>
        <x:v>26.5</x:v>
      </x:c>
    </x:row>
    <x:row r="79">
      <x:c r="A79" t="str">
        <x:v>Case 69</x:v>
      </x:c>
      <x:c r="B79" s="34" t="n">
        <x:v>0.2</x:v>
      </x:c>
      <x:c r="C79" s="35" t="n">
        <x:v>10</x:v>
      </x:c>
      <x:c r="D79" s="35" t="n">
        <x:f>MAX(0,MIN('Curve Targets'!$B$2,'Curve Targets'!$G$5+'Curve Targets'!$G$6*B79+'Curve Targets'!$G$7*B79^2+'Curve Targets'!$G$8*B79^3+'Curve Targets'!$G$9*B79^4+'Curve Targets'!$G$10*B79^5+'Curve Targets'!$G$11*B79^6))</x:f>
        <x:v>20.05244755905601</x:v>
      </x:c>
      <x:c r="E79" s="35" t="n">
        <x:f>MAX(0,MIN('Curve Targets'!$K$2,'Curve Targets'!$P$5+'Curve Targets'!$P$6*C79+'Curve Targets'!$P$7*C79^2+'Curve Targets'!$P$8*C79^3+'Curve Targets'!$P$9*C79^4))</x:f>
        <x:v>16.290151000000005</x:v>
      </x:c>
      <x:c r="F79" s="34" t="n">
        <x:f>IF(D79+E79=0,0,D79/(D79+E79))</x:f>
        <x:v>0.5517615237796266</x:v>
      </x:c>
      <x:c r="G79" s="34" t="n">
        <x:f>IF(D79+E79=0,0,E79/(D79+E79))</x:f>
        <x:v>0.4482384762203734</x:v>
      </x:c>
      <x:c r="H79" s="36" t="n">
        <x:f>ROUND(D79+E79,1)</x:f>
        <x:v>36.3</x:v>
      </x:c>
    </x:row>
    <x:row r="80">
      <x:c r="A80" t="str">
        <x:v>Case 70</x:v>
      </x:c>
      <x:c r="B80" s="34" t="n">
        <x:v>0.3</x:v>
      </x:c>
      <x:c r="C80" s="35" t="n">
        <x:v>10</x:v>
      </x:c>
      <x:c r="D80" s="35" t="n">
        <x:f>MAX(0,MIN('Curve Targets'!$B$2,'Curve Targets'!$G$5+'Curve Targets'!$G$6*B80+'Curve Targets'!$G$7*B80^2+'Curve Targets'!$G$8*B80^3+'Curve Targets'!$G$9*B80^4+'Curve Targets'!$G$10*B80^5+'Curve Targets'!$G$11*B80^6))</x:f>
        <x:v>44.055944052190966</x:v>
      </x:c>
      <x:c r="E80" s="35" t="n">
        <x:f>MAX(0,MIN('Curve Targets'!$K$2,'Curve Targets'!$P$5+'Curve Targets'!$P$6*C80+'Curve Targets'!$P$7*C80^2+'Curve Targets'!$P$8*C80^3+'Curve Targets'!$P$9*C80^4))</x:f>
        <x:v>16.290151000000005</x:v>
      </x:c>
      <x:c r="F80" s="34" t="n">
        <x:f>IF(D80+E80=0,0,D80/(D80+E80))</x:f>
        <x:v>0.7300545961439379</x:v>
      </x:c>
      <x:c r="G80" s="34" t="n">
        <x:f>IF(D80+E80=0,0,E80/(D80+E80))</x:f>
        <x:v>0.26994540385606214</x:v>
      </x:c>
      <x:c r="H80" s="36" t="n">
        <x:f>ROUND(D80+E80,1)</x:f>
        <x:v>60.3</x:v>
      </x:c>
    </x:row>
    <x:row r="81">
      <x:c r="A81" t="str">
        <x:v>Case 71</x:v>
      </x:c>
      <x:c r="B81" s="34" t="n">
        <x:v>0.4</x:v>
      </x:c>
      <x:c r="C81" s="35" t="n">
        <x:v>10</x:v>
      </x:c>
      <x:c r="D81" s="35" t="n">
        <x:f>MAX(0,MIN('Curve Targets'!$B$2,'Curve Targets'!$G$5+'Curve Targets'!$G$6*B81+'Curve Targets'!$G$7*B81^2+'Curve Targets'!$G$8*B81^3+'Curve Targets'!$G$9*B81^4+'Curve Targets'!$G$10*B81^5+'Curve Targets'!$G$11*B81^6))</x:f>
        <x:v>80.73426568718412</x:v>
      </x:c>
      <x:c r="E81" s="35" t="n">
        <x:f>MAX(0,MIN('Curve Targets'!$K$2,'Curve Targets'!$P$5+'Curve Targets'!$P$6*C81+'Curve Targets'!$P$7*C81^2+'Curve Targets'!$P$8*C81^3+'Curve Targets'!$P$9*C81^4))</x:f>
        <x:v>16.290151000000005</x:v>
      </x:c>
      <x:c r="F81" s="34" t="n">
        <x:f>IF(D81+E81=0,0,D81/(D81+E81))</x:f>
        <x:v>0.8321025618476946</x:v>
      </x:c>
      <x:c r="G81" s="34" t="n">
        <x:f>IF(D81+E81=0,0,E81/(D81+E81))</x:f>
        <x:v>0.1678974381523054</x:v>
      </x:c>
      <x:c r="H81" s="36" t="n">
        <x:f>ROUND(D81+E81,1)</x:f>
        <x:v>97</x:v>
      </x:c>
    </x:row>
    <x:row r="82">
      <x:c r="A82" t="str">
        <x:v>Case 72</x:v>
      </x:c>
      <x:c r="B82" s="34" t="n">
        <x:v>0.5</x:v>
      </x:c>
      <x:c r="C82" s="35" t="n">
        <x:v>10</x:v>
      </x:c>
      <x:c r="D82" s="35" t="n">
        <x:f>MAX(0,MIN('Curve Targets'!$B$2,'Curve Targets'!$G$5+'Curve Targets'!$G$6*B82+'Curve Targets'!$G$7*B82^2+'Curve Targets'!$G$8*B82^3+'Curve Targets'!$G$9*B82^4+'Curve Targets'!$G$10*B82^5+'Curve Targets'!$G$11*B82^6))</x:f>
        <x:v>121.46853131437501</x:v>
      </x:c>
      <x:c r="E82" s="35" t="n">
        <x:f>MAX(0,MIN('Curve Targets'!$K$2,'Curve Targets'!$P$5+'Curve Targets'!$P$6*C82+'Curve Targets'!$P$7*C82^2+'Curve Targets'!$P$8*C82^3+'Curve Targets'!$P$9*C82^4))</x:f>
        <x:v>16.290151000000005</x:v>
      </x:c>
      <x:c r="F82" s="34" t="n">
        <x:f>IF(D82+E82=0,0,D82/(D82+E82))</x:f>
        <x:v>0.8817486438871074</x:v>
      </x:c>
      <x:c r="G82" s="34" t="n">
        <x:f>IF(D82+E82=0,0,E82/(D82+E82))</x:f>
        <x:v>0.11825135611289263</x:v>
      </x:c>
      <x:c r="H82" s="36" t="n">
        <x:f>ROUND(D82+E82,1)</x:f>
        <x:v>137.8</x:v>
      </x:c>
    </x:row>
    <x:row r="83">
      <x:c r="A83" t="str">
        <x:v>Case 73</x:v>
      </x:c>
      <x:c r="B83" s="34" t="n">
        <x:v>0.6</x:v>
      </x:c>
      <x:c r="C83" s="35" t="n">
        <x:v>10</x:v>
      </x:c>
      <x:c r="D83" s="35" t="n">
        <x:f>MAX(0,MIN('Curve Targets'!$B$2,'Curve Targets'!$G$5+'Curve Targets'!$G$6*B83+'Curve Targets'!$G$7*B83^2+'Curve Targets'!$G$8*B83^3+'Curve Targets'!$G$9*B83^4+'Curve Targets'!$G$10*B83^5+'Curve Targets'!$G$11*B83^6))</x:f>
        <x:v>157.06293669262354</x:v>
      </x:c>
      <x:c r="E83" s="35" t="n">
        <x:f>MAX(0,MIN('Curve Targets'!$K$2,'Curve Targets'!$P$5+'Curve Targets'!$P$6*C83+'Curve Targets'!$P$7*C83^2+'Curve Targets'!$P$8*C83^3+'Curve Targets'!$P$9*C83^4))</x:f>
        <x:v>16.290151000000005</x:v>
      </x:c>
      <x:c r="F83" s="34" t="n">
        <x:f>IF(D83+E83=0,0,D83/(D83+E83))</x:f>
        <x:v>0.9060290692434365</x:v>
      </x:c>
      <x:c r="G83" s="34" t="n">
        <x:f>IF(D83+E83=0,0,E83/(D83+E83))</x:f>
        <x:v>0.09397093075656349</x:v>
      </x:c>
      <x:c r="H83" s="36" t="n">
        <x:f>ROUND(D83+E83,1)</x:f>
        <x:v>173.4</x:v>
      </x:c>
    </x:row>
    <x:row r="84">
      <x:c r="A84" t="str">
        <x:v>Case 74</x:v>
      </x:c>
      <x:c r="B84" s="34" t="n">
        <x:v>0.7</x:v>
      </x:c>
      <x:c r="C84" s="35" t="n">
        <x:v>10</x:v>
      </x:c>
      <x:c r="D84" s="35" t="n">
        <x:f>MAX(0,MIN('Curve Targets'!$B$2,'Curve Targets'!$G$5+'Curve Targets'!$G$6*B84+'Curve Targets'!$G$7*B84^2+'Curve Targets'!$G$8*B84^3+'Curve Targets'!$G$9*B84^4+'Curve Targets'!$G$10*B84^5+'Curve Targets'!$G$11*B84^6))</x:f>
        <x:v>181.78321602527052</x:v>
      </x:c>
      <x:c r="E84" s="35" t="n">
        <x:f>MAX(0,MIN('Curve Targets'!$K$2,'Curve Targets'!$P$5+'Curve Targets'!$P$6*C84+'Curve Targets'!$P$7*C84^2+'Curve Targets'!$P$8*C84^3+'Curve Targets'!$P$9*C84^4))</x:f>
        <x:v>16.290151000000005</x:v>
      </x:c>
      <x:c r="F84" s="34" t="n">
        <x:f>IF(D84+E84=0,0,D84/(D84+E84))</x:f>
        <x:v>0.91775698447171</x:v>
      </x:c>
      <x:c r="G84" s="34" t="n">
        <x:f>IF(D84+E84=0,0,E84/(D84+E84))</x:f>
        <x:v>0.08224301552828998</x:v>
      </x:c>
      <x:c r="H84" s="36" t="n">
        <x:f>ROUND(D84+E84,1)</x:f>
        <x:v>198.1</x:v>
      </x:c>
    </x:row>
    <x:row r="85">
      <x:c r="A85" t="str">
        <x:v>Case 75</x:v>
      </x:c>
      <x:c r="B85" s="34" t="n">
        <x:v>0.8</x:v>
      </x:c>
      <x:c r="C85" s="35" t="n">
        <x:v>10</x:v>
      </x:c>
      <x:c r="D85" s="35" t="n">
        <x:f>MAX(0,MIN('Curve Targets'!$B$2,'Curve Targets'!$G$5+'Curve Targets'!$G$6*B85+'Curve Targets'!$G$7*B85^2+'Curve Targets'!$G$8*B85^3+'Curve Targets'!$G$9*B85^4+'Curve Targets'!$G$10*B85^5+'Curve Targets'!$G$11*B85^6))</x:f>
        <x:v>194.8951034969765</x:v>
      </x:c>
      <x:c r="E85" s="35" t="n">
        <x:f>MAX(0,MIN('Curve Targets'!$K$2,'Curve Targets'!$P$5+'Curve Targets'!$P$6*C85+'Curve Targets'!$P$7*C85^2+'Curve Targets'!$P$8*C85^3+'Curve Targets'!$P$9*C85^4))</x:f>
        <x:v>16.290151000000005</x:v>
      </x:c>
      <x:c r="F85" s="34" t="n">
        <x:f>IF(D85+E85=0,0,D85/(D85+E85))</x:f>
        <x:v>0.9228632177052246</x:v>
      </x:c>
      <x:c r="G85" s="34" t="n">
        <x:f>IF(D85+E85=0,0,E85/(D85+E85))</x:f>
        <x:v>0.07713678229477536</x:v>
      </x:c>
      <x:c r="H85" s="36" t="n">
        <x:f>ROUND(D85+E85,1)</x:f>
        <x:v>211.2</x:v>
      </x:c>
    </x:row>
    <x:row r="86">
      <x:c r="A86" t="str">
        <x:v>Case 76</x:v>
      </x:c>
      <x:c r="B86" s="34" t="n">
        <x:v>0.9</x:v>
      </x:c>
      <x:c r="C86" s="35" t="n">
        <x:v>10</x:v>
      </x:c>
      <x:c r="D86" s="35" t="n">
        <x:f>MAX(0,MIN('Curve Targets'!$B$2,'Curve Targets'!$G$5+'Curve Targets'!$G$6*B86+'Curve Targets'!$G$7*B86^2+'Curve Targets'!$G$8*B86^3+'Curve Targets'!$G$9*B86^4+'Curve Targets'!$G$10*B86^5+'Curve Targets'!$G$11*B86^6))</x:f>
        <x:v>199.70279481143962</x:v>
      </x:c>
      <x:c r="E86" s="35" t="n">
        <x:f>MAX(0,MIN('Curve Targets'!$K$2,'Curve Targets'!$P$5+'Curve Targets'!$P$6*C86+'Curve Targets'!$P$7*C86^2+'Curve Targets'!$P$8*C86^3+'Curve Targets'!$P$9*C86^4))</x:f>
        <x:v>16.290151000000005</x:v>
      </x:c>
      <x:c r="F86" s="34" t="n">
        <x:f>IF(D86+E86=0,0,D86/(D86+E86))</x:f>
        <x:v>0.9245801711773439</x:v>
      </x:c>
      <x:c r="G86" s="34" t="n">
        <x:f>IF(D86+E86=0,0,E86/(D86+E86))</x:f>
        <x:v>0.07541982882265608</x:v>
      </x:c>
      <x:c r="H86" s="36" t="n">
        <x:f>ROUND(D86+E86,1)</x:f>
        <x:v>216</x:v>
      </x:c>
    </x:row>
    <x:row r="87">
      <x:c r="A87" t="str">
        <x:v>Case 77</x:v>
      </x:c>
      <x:c r="B87" s="34" t="n">
        <x:v>1</x:v>
      </x:c>
      <x:c r="C87" s="35" t="n">
        <x:v>10</x:v>
      </x:c>
      <x:c r="D87" s="35" t="n">
        <x:f>MAX(0,MIN('Curve Targets'!$B$2,'Curve Targets'!$G$5+'Curve Targets'!$G$6*B87+'Curve Targets'!$G$7*B87^2+'Curve Targets'!$G$8*B87^3+'Curve Targets'!$G$9*B87^4+'Curve Targets'!$G$10*B87^5+'Curve Targets'!$G$11*B87^6))</x:f>
        <x:v>200</x:v>
      </x:c>
      <x:c r="E87" s="35" t="n">
        <x:f>MAX(0,MIN('Curve Targets'!$K$2,'Curve Targets'!$P$5+'Curve Targets'!$P$6*C87+'Curve Targets'!$P$7*C87^2+'Curve Targets'!$P$8*C87^3+'Curve Targets'!$P$9*C87^4))</x:f>
        <x:v>16.290151000000005</x:v>
      </x:c>
      <x:c r="F87" s="34" t="n">
        <x:f>IF(D87+E87=0,0,D87/(D87+E87))</x:f>
        <x:v>0.9246838058751922</x:v>
      </x:c>
      <x:c r="G87" s="34" t="n">
        <x:f>IF(D87+E87=0,0,E87/(D87+E87))</x:f>
        <x:v>0.07531619412480786</x:v>
      </x:c>
      <x:c r="H87" s="36" t="n">
        <x:f>ROUND(D87+E87,1)</x:f>
        <x:v>216.3</x:v>
      </x:c>
    </x:row>
    <x:row r="88">
      <x:c r="A88" t="str">
        <x:v>Case 78</x:v>
      </x:c>
      <x:c r="B88" s="34" t="n">
        <x:v>0</x:v>
      </x:c>
      <x:c r="C88" s="35" t="n">
        <x:v>14</x:v>
      </x:c>
      <x:c r="D88" s="35" t="n">
        <x:f>MAX(0,MIN('Curve Targets'!$B$2,'Curve Targets'!$G$5+'Curve Targets'!$G$6*B88+'Curve Targets'!$G$7*B88^2+'Curve Targets'!$G$8*B88^3+'Curve Targets'!$G$9*B88^4+'Curve Targets'!$G$10*B88^5+'Curve Targets'!$G$11*B88^6))</x:f>
        <x:v>0</x:v>
      </x:c>
      <x:c r="E88" s="35" t="n">
        <x:f>MAX(0,MIN('Curve Targets'!$K$2,'Curve Targets'!$P$5+'Curve Targets'!$P$6*C88+'Curve Targets'!$P$7*C88^2+'Curve Targets'!$P$8*C88^3+'Curve Targets'!$P$9*C88^4))</x:f>
        <x:v>11.984755000000021</x:v>
      </x:c>
      <x:c r="F88" s="34" t="n">
        <x:f>IF(D88+E88=0,0,D88/(D88+E88))</x:f>
        <x:v>0</x:v>
      </x:c>
      <x:c r="G88" s="34" t="n">
        <x:f>IF(D88+E88=0,0,E88/(D88+E88))</x:f>
        <x:v>1</x:v>
      </x:c>
      <x:c r="H88" s="36" t="n">
        <x:f>ROUND(D88+E88,1)</x:f>
        <x:v>12</x:v>
      </x:c>
    </x:row>
    <x:row r="89">
      <x:c r="A89" t="str">
        <x:v>Case 79</x:v>
      </x:c>
      <x:c r="B89" s="34" t="n">
        <x:v>0.1</x:v>
      </x:c>
      <x:c r="C89" s="35" t="n">
        <x:v>14</x:v>
      </x:c>
      <x:c r="D89" s="35" t="n">
        <x:f>MAX(0,MIN('Curve Targets'!$B$2,'Curve Targets'!$G$5+'Curve Targets'!$G$6*B89+'Curve Targets'!$G$7*B89^2+'Curve Targets'!$G$8*B89^3+'Curve Targets'!$G$9*B89^4+'Curve Targets'!$G$10*B89^5+'Curve Targets'!$G$11*B89^6))</x:f>
        <x:v>10.227272730879001</x:v>
      </x:c>
      <x:c r="E89" s="35" t="n">
        <x:f>MAX(0,MIN('Curve Targets'!$K$2,'Curve Targets'!$P$5+'Curve Targets'!$P$6*C89+'Curve Targets'!$P$7*C89^2+'Curve Targets'!$P$8*C89^3+'Curve Targets'!$P$9*C89^4))</x:f>
        <x:v>11.984755000000021</x:v>
      </x:c>
      <x:c r="F89" s="34" t="n">
        <x:f>IF(D89+E89=0,0,D89/(D89+E89))</x:f>
        <x:v>0.4604385000231703</x:v>
      </x:c>
      <x:c r="G89" s="34" t="n">
        <x:f>IF(D89+E89=0,0,E89/(D89+E89))</x:f>
        <x:v>0.5395614999768297</x:v>
      </x:c>
      <x:c r="H89" s="36" t="n">
        <x:f>ROUND(D89+E89,1)</x:f>
        <x:v>22.2</x:v>
      </x:c>
    </x:row>
    <x:row r="90">
      <x:c r="A90" t="str">
        <x:v>Case 80</x:v>
      </x:c>
      <x:c r="B90" s="34" t="n">
        <x:v>0.2</x:v>
      </x:c>
      <x:c r="C90" s="35" t="n">
        <x:v>14</x:v>
      </x:c>
      <x:c r="D90" s="35" t="n">
        <x:f>MAX(0,MIN('Curve Targets'!$B$2,'Curve Targets'!$G$5+'Curve Targets'!$G$6*B90+'Curve Targets'!$G$7*B90^2+'Curve Targets'!$G$8*B90^3+'Curve Targets'!$G$9*B90^4+'Curve Targets'!$G$10*B90^5+'Curve Targets'!$G$11*B90^6))</x:f>
        <x:v>20.05244755905601</x:v>
      </x:c>
      <x:c r="E90" s="35" t="n">
        <x:f>MAX(0,MIN('Curve Targets'!$K$2,'Curve Targets'!$P$5+'Curve Targets'!$P$6*C90+'Curve Targets'!$P$7*C90^2+'Curve Targets'!$P$8*C90^3+'Curve Targets'!$P$9*C90^4))</x:f>
        <x:v>11.984755000000021</x:v>
      </x:c>
      <x:c r="F90" s="34" t="n">
        <x:f>IF(D90+E90=0,0,D90/(D90+E90))</x:f>
        <x:v>0.625911314263228</x:v>
      </x:c>
      <x:c r="G90" s="34" t="n">
        <x:f>IF(D90+E90=0,0,E90/(D90+E90))</x:f>
        <x:v>0.3740886857367721</x:v>
      </x:c>
      <x:c r="H90" s="36" t="n">
        <x:f>ROUND(D90+E90,1)</x:f>
        <x:v>32</x:v>
      </x:c>
    </x:row>
    <x:row r="91">
      <x:c r="A91" t="str">
        <x:v>Case 81</x:v>
      </x:c>
      <x:c r="B91" s="34" t="n">
        <x:v>0.3</x:v>
      </x:c>
      <x:c r="C91" s="35" t="n">
        <x:v>14</x:v>
      </x:c>
      <x:c r="D91" s="35" t="n">
        <x:f>MAX(0,MIN('Curve Targets'!$B$2,'Curve Targets'!$G$5+'Curve Targets'!$G$6*B91+'Curve Targets'!$G$7*B91^2+'Curve Targets'!$G$8*B91^3+'Curve Targets'!$G$9*B91^4+'Curve Targets'!$G$10*B91^5+'Curve Targets'!$G$11*B91^6))</x:f>
        <x:v>44.055944052190966</x:v>
      </x:c>
      <x:c r="E91" s="35" t="n">
        <x:f>MAX(0,MIN('Curve Targets'!$K$2,'Curve Targets'!$P$5+'Curve Targets'!$P$6*C91+'Curve Targets'!$P$7*C91^2+'Curve Targets'!$P$8*C91^3+'Curve Targets'!$P$9*C91^4))</x:f>
        <x:v>11.984755000000021</x:v>
      </x:c>
      <x:c r="F91" s="34" t="n">
        <x:f>IF(D91+E91=0,0,D91/(D91+E91))</x:f>
        <x:v>0.7861419432181145</x:v>
      </x:c>
      <x:c r="G91" s="34" t="n">
        <x:f>IF(D91+E91=0,0,E91/(D91+E91))</x:f>
        <x:v>0.21385805678188557</x:v>
      </x:c>
      <x:c r="H91" s="36" t="n">
        <x:f>ROUND(D91+E91,1)</x:f>
        <x:v>56</x:v>
      </x:c>
    </x:row>
    <x:row r="92">
      <x:c r="A92" t="str">
        <x:v>Case 82</x:v>
      </x:c>
      <x:c r="B92" s="34" t="n">
        <x:v>0.4</x:v>
      </x:c>
      <x:c r="C92" s="35" t="n">
        <x:v>14</x:v>
      </x:c>
      <x:c r="D92" s="35" t="n">
        <x:f>MAX(0,MIN('Curve Targets'!$B$2,'Curve Targets'!$G$5+'Curve Targets'!$G$6*B92+'Curve Targets'!$G$7*B92^2+'Curve Targets'!$G$8*B92^3+'Curve Targets'!$G$9*B92^4+'Curve Targets'!$G$10*B92^5+'Curve Targets'!$G$11*B92^6))</x:f>
        <x:v>80.73426568718412</x:v>
      </x:c>
      <x:c r="E92" s="35" t="n">
        <x:f>MAX(0,MIN('Curve Targets'!$K$2,'Curve Targets'!$P$5+'Curve Targets'!$P$6*C92+'Curve Targets'!$P$7*C92^2+'Curve Targets'!$P$8*C92^3+'Curve Targets'!$P$9*C92^4))</x:f>
        <x:v>11.984755000000021</x:v>
      </x:c>
      <x:c r="F92" s="34" t="n">
        <x:f>IF(D92+E92=0,0,D92/(D92+E92))</x:f>
        <x:v>0.870741139076153</x:v>
      </x:c>
      <x:c r="G92" s="34" t="n">
        <x:f>IF(D92+E92=0,0,E92/(D92+E92))</x:f>
        <x:v>0.12925886092384692</x:v>
      </x:c>
      <x:c r="H92" s="36" t="n">
        <x:f>ROUND(D92+E92,1)</x:f>
        <x:v>92.7</x:v>
      </x:c>
    </x:row>
    <x:row r="93">
      <x:c r="A93" t="str">
        <x:v>Case 83</x:v>
      </x:c>
      <x:c r="B93" s="34" t="n">
        <x:v>0.5</x:v>
      </x:c>
      <x:c r="C93" s="35" t="n">
        <x:v>14</x:v>
      </x:c>
      <x:c r="D93" s="35" t="n">
        <x:f>MAX(0,MIN('Curve Targets'!$B$2,'Curve Targets'!$G$5+'Curve Targets'!$G$6*B93+'Curve Targets'!$G$7*B93^2+'Curve Targets'!$G$8*B93^3+'Curve Targets'!$G$9*B93^4+'Curve Targets'!$G$10*B93^5+'Curve Targets'!$G$11*B93^6))</x:f>
        <x:v>121.46853131437501</x:v>
      </x:c>
      <x:c r="E93" s="35" t="n">
        <x:f>MAX(0,MIN('Curve Targets'!$K$2,'Curve Targets'!$P$5+'Curve Targets'!$P$6*C93+'Curve Targets'!$P$7*C93^2+'Curve Targets'!$P$8*C93^3+'Curve Targets'!$P$9*C93^4))</x:f>
        <x:v>11.984755000000021</x:v>
      </x:c>
      <x:c r="F93" s="34" t="n">
        <x:f>IF(D93+E93=0,0,D93/(D93+E93))</x:f>
        <x:v>0.9101951302138218</x:v>
      </x:c>
      <x:c r="G93" s="34" t="n">
        <x:f>IF(D93+E93=0,0,E93/(D93+E93))</x:f>
        <x:v>0.08980486978617831</x:v>
      </x:c>
      <x:c r="H93" s="36" t="n">
        <x:f>ROUND(D93+E93,1)</x:f>
        <x:v>133.5</x:v>
      </x:c>
    </x:row>
    <x:row r="94">
      <x:c r="A94" t="str">
        <x:v>Case 84</x:v>
      </x:c>
      <x:c r="B94" s="34" t="n">
        <x:v>0.6</x:v>
      </x:c>
      <x:c r="C94" s="35" t="n">
        <x:v>14</x:v>
      </x:c>
      <x:c r="D94" s="35" t="n">
        <x:f>MAX(0,MIN('Curve Targets'!$B$2,'Curve Targets'!$G$5+'Curve Targets'!$G$6*B94+'Curve Targets'!$G$7*B94^2+'Curve Targets'!$G$8*B94^3+'Curve Targets'!$G$9*B94^4+'Curve Targets'!$G$10*B94^5+'Curve Targets'!$G$11*B94^6))</x:f>
        <x:v>157.06293669262354</x:v>
      </x:c>
      <x:c r="E94" s="35" t="n">
        <x:f>MAX(0,MIN('Curve Targets'!$K$2,'Curve Targets'!$P$5+'Curve Targets'!$P$6*C94+'Curve Targets'!$P$7*C94^2+'Curve Targets'!$P$8*C94^3+'Curve Targets'!$P$9*C94^4))</x:f>
        <x:v>11.984755000000021</x:v>
      </x:c>
      <x:c r="F94" s="34" t="n">
        <x:f>IF(D94+E94=0,0,D94/(D94+E94))</x:f>
        <x:v>0.9291042966632653</x:v>
      </x:c>
      <x:c r="G94" s="34" t="n">
        <x:f>IF(D94+E94=0,0,E94/(D94+E94))</x:f>
        <x:v>0.07089570333673463</x:v>
      </x:c>
      <x:c r="H94" s="36" t="n">
        <x:f>ROUND(D94+E94,1)</x:f>
        <x:v>169</x:v>
      </x:c>
    </x:row>
    <x:row r="95">
      <x:c r="A95" t="str">
        <x:v>Case 85</x:v>
      </x:c>
      <x:c r="B95" s="34" t="n">
        <x:v>0.7</x:v>
      </x:c>
      <x:c r="C95" s="35" t="n">
        <x:v>14</x:v>
      </x:c>
      <x:c r="D95" s="35" t="n">
        <x:f>MAX(0,MIN('Curve Targets'!$B$2,'Curve Targets'!$G$5+'Curve Targets'!$G$6*B95+'Curve Targets'!$G$7*B95^2+'Curve Targets'!$G$8*B95^3+'Curve Targets'!$G$9*B95^4+'Curve Targets'!$G$10*B95^5+'Curve Targets'!$G$11*B95^6))</x:f>
        <x:v>181.78321602527052</x:v>
      </x:c>
      <x:c r="E95" s="35" t="n">
        <x:f>MAX(0,MIN('Curve Targets'!$K$2,'Curve Targets'!$P$5+'Curve Targets'!$P$6*C95+'Curve Targets'!$P$7*C95^2+'Curve Targets'!$P$8*C95^3+'Curve Targets'!$P$9*C95^4))</x:f>
        <x:v>11.984755000000021</x:v>
      </x:c>
      <x:c r="F95" s="34" t="n">
        <x:f>IF(D95+E95=0,0,D95/(D95+E95))</x:f>
        <x:v>0.9381489369136399</x:v>
      </x:c>
      <x:c r="G95" s="34" t="n">
        <x:f>IF(D95+E95=0,0,E95/(D95+E95))</x:f>
        <x:v>0.061851063086360195</x:v>
      </x:c>
      <x:c r="H95" s="36" t="n">
        <x:f>ROUND(D95+E95,1)</x:f>
        <x:v>193.8</x:v>
      </x:c>
    </x:row>
    <x:row r="96">
      <x:c r="A96" t="str">
        <x:v>Case 86</x:v>
      </x:c>
      <x:c r="B96" s="34" t="n">
        <x:v>0.8</x:v>
      </x:c>
      <x:c r="C96" s="35" t="n">
        <x:v>14</x:v>
      </x:c>
      <x:c r="D96" s="35" t="n">
        <x:f>MAX(0,MIN('Curve Targets'!$B$2,'Curve Targets'!$G$5+'Curve Targets'!$G$6*B96+'Curve Targets'!$G$7*B96^2+'Curve Targets'!$G$8*B96^3+'Curve Targets'!$G$9*B96^4+'Curve Targets'!$G$10*B96^5+'Curve Targets'!$G$11*B96^6))</x:f>
        <x:v>194.8951034969765</x:v>
      </x:c>
      <x:c r="E96" s="35" t="n">
        <x:f>MAX(0,MIN('Curve Targets'!$K$2,'Curve Targets'!$P$5+'Curve Targets'!$P$6*C96+'Curve Targets'!$P$7*C96^2+'Curve Targets'!$P$8*C96^3+'Curve Targets'!$P$9*C96^4))</x:f>
        <x:v>11.984755000000021</x:v>
      </x:c>
      <x:c r="F96" s="34" t="n">
        <x:f>IF(D96+E96=0,0,D96/(D96+E96))</x:f>
        <x:v>0.9420690100666559</x:v>
      </x:c>
      <x:c r="G96" s="34" t="n">
        <x:f>IF(D96+E96=0,0,E96/(D96+E96))</x:f>
        <x:v>0.05793098993334421</x:v>
      </x:c>
      <x:c r="H96" s="36" t="n">
        <x:f>ROUND(D96+E96,1)</x:f>
        <x:v>206.9</x:v>
      </x:c>
    </x:row>
    <x:row r="97">
      <x:c r="A97" t="str">
        <x:v>Case 87</x:v>
      </x:c>
      <x:c r="B97" s="34" t="n">
        <x:v>0.9</x:v>
      </x:c>
      <x:c r="C97" s="35" t="n">
        <x:v>14</x:v>
      </x:c>
      <x:c r="D97" s="35" t="n">
        <x:f>MAX(0,MIN('Curve Targets'!$B$2,'Curve Targets'!$G$5+'Curve Targets'!$G$6*B97+'Curve Targets'!$G$7*B97^2+'Curve Targets'!$G$8*B97^3+'Curve Targets'!$G$9*B97^4+'Curve Targets'!$G$10*B97^5+'Curve Targets'!$G$11*B97^6))</x:f>
        <x:v>199.70279481143962</x:v>
      </x:c>
      <x:c r="E97" s="35" t="n">
        <x:f>MAX(0,MIN('Curve Targets'!$K$2,'Curve Targets'!$P$5+'Curve Targets'!$P$6*C97+'Curve Targets'!$P$7*C97^2+'Curve Targets'!$P$8*C97^3+'Curve Targets'!$P$9*C97^4))</x:f>
        <x:v>11.984755000000021</x:v>
      </x:c>
      <x:c r="F97" s="34" t="n">
        <x:f>IF(D97+E97=0,0,D97/(D97+E97))</x:f>
        <x:v>0.943384695931927</x:v>
      </x:c>
      <x:c r="G97" s="34" t="n">
        <x:f>IF(D97+E97=0,0,E97/(D97+E97))</x:f>
        <x:v>0.05661530406807308</x:v>
      </x:c>
      <x:c r="H97" s="36" t="n">
        <x:f>ROUND(D97+E97,1)</x:f>
        <x:v>211.7</x:v>
      </x:c>
    </x:row>
    <x:row r="98">
      <x:c r="A98" t="str">
        <x:v>Case 88</x:v>
      </x:c>
      <x:c r="B98" s="34" t="n">
        <x:v>1</x:v>
      </x:c>
      <x:c r="C98" s="35" t="n">
        <x:v>14</x:v>
      </x:c>
      <x:c r="D98" s="35" t="n">
        <x:f>MAX(0,MIN('Curve Targets'!$B$2,'Curve Targets'!$G$5+'Curve Targets'!$G$6*B98+'Curve Targets'!$G$7*B98^2+'Curve Targets'!$G$8*B98^3+'Curve Targets'!$G$9*B98^4+'Curve Targets'!$G$10*B98^5+'Curve Targets'!$G$11*B98^6))</x:f>
        <x:v>200</x:v>
      </x:c>
      <x:c r="E98" s="35" t="n">
        <x:f>MAX(0,MIN('Curve Targets'!$K$2,'Curve Targets'!$P$5+'Curve Targets'!$P$6*C98+'Curve Targets'!$P$7*C98^2+'Curve Targets'!$P$8*C98^3+'Curve Targets'!$P$9*C98^4))</x:f>
        <x:v>11.984755000000021</x:v>
      </x:c>
      <x:c r="F98" s="34" t="n">
        <x:f>IF(D98+E98=0,0,D98/(D98+E98))</x:f>
        <x:v>0.9434640712724837</x:v>
      </x:c>
      <x:c r="G98" s="34" t="n">
        <x:f>IF(D98+E98=0,0,E98/(D98+E98))</x:f>
        <x:v>0.05653592872751637</x:v>
      </x:c>
      <x:c r="H98" s="36" t="n">
        <x:f>ROUND(D98+E98,1)</x:f>
        <x:v>212</x:v>
      </x:c>
    </x:row>
  </x:sheetData>
  <x:mergeCells>
    <x:mergeCell ref="A1:H1"/>
    <x:mergeCell ref="A2:H2"/>
    <x:mergeCell ref="F4:H4"/>
    <x:mergeCell ref="F5:H5"/>
    <x:mergeCell ref="F6:H6"/>
    <x:mergeCell ref="F7:H7"/>
  </x:mergeCells>
  <x:conditionalFormatting sqref="H11:H9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261670ea01e4a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2.4399995803833" hidden="0" customWidth="1"/>
    <x:col min="3" max="3" width="12.4399995803833" hidden="0" customWidth="1"/>
    <x:col min="4" max="4" width="12.4399995803833" hidden="0" customWidth="1"/>
    <x:col min="6" max="6" width="12.4399995803833" hidden="0" customWidth="1"/>
    <x:col min="7" max="7" width="12.4399995803833" hidden="0" customWidth="1"/>
    <x:col min="8" max="8" width="12.4399995803833" hidden="0" customWidth="1"/>
    <x:col min="10" max="10" width="12.4399995803833" hidden="0" customWidth="1"/>
    <x:col min="11" max="11" width="12.4399995803833" hidden="0" customWidth="1"/>
    <x:col min="12" max="12" width="12.4399995803833" hidden="0" customWidth="1"/>
    <x:col min="13" max="13" width="12.4399995803833" hidden="0" customWidth="1"/>
    <x:col min="15" max="15" width="12.4399995803833" hidden="0" customWidth="1"/>
    <x:col min="16" max="16" width="12.4399995803833" hidden="0" customWidth="1"/>
    <x:col min="17" max="17" width="12.4399995803833" hidden="0" customWidth="1"/>
  </x:cols>
  <x:sheetData>
    <x:row r="1" ht="21" customHeight="1">
      <x:c r="A1" s="30" t="str">
        <x:v>Fuel Curve</x:v>
      </x:c>
      <x:c r="B1" s="30"/>
      <x:c r="C1" s="30"/>
      <x:c r="D1" s="30"/>
      <x:c r="J1" s="30" t="str">
        <x:v>Time Curve</x:v>
      </x:c>
      <x:c r="K1" s="30"/>
      <x:c r="L1" s="30"/>
      <x:c r="M1" s="30"/>
    </x:row>
    <x:row r="2">
      <x:c r="A2" t="str">
        <x:v>Max fuel points</x:v>
      </x:c>
      <x:c r="B2" s="35" t="n">
        <x:v>200</x:v>
      </x:c>
      <x:c r="J2" t="str">
        <x:v>Max time points</x:v>
      </x:c>
      <x:c r="K2" s="35" t="n">
        <x:v>50</x:v>
      </x:c>
      <x:c r="L2" s="35"/>
      <x:c r="M2" s="35"/>
    </x:row>
    <x:row r="3">
      <x:c r="B3" s="35"/>
      <x:c r="K3" s="35"/>
      <x:c r="L3" s="35"/>
      <x:c r="M3" s="35"/>
    </x:row>
    <x:row r="4" ht="25.5" customHeight="1">
      <x:c r="A4" s="27" t="str">
        <x:v>Fuel Left %</x:v>
      </x:c>
      <x:c r="B4" s="40" t="str">
        <x:v>Target Points</x:v>
      </x:c>
      <x:c r="C4" s="27" t="str">
        <x:v>Polynomial Points</x:v>
      </x:c>
      <x:c r="D4" s="27" t="str">
        <x:v>Difference</x:v>
      </x:c>
      <x:c r="F4" s="27" t="str">
        <x:v>Fuel coefficient</x:v>
      </x:c>
      <x:c r="G4" s="27" t="str">
        <x:v>Value</x:v>
      </x:c>
      <x:c r="H4" s="27" t="str">
        <x:v>Term</x:v>
      </x:c>
      <x:c r="J4" s="27" t="str">
        <x:v>Elapsed Days</x:v>
      </x:c>
      <x:c r="K4" s="40" t="str">
        <x:v>Target Points</x:v>
      </x:c>
      <x:c r="L4" s="40" t="str">
        <x:v>Polynomial Points</x:v>
      </x:c>
      <x:c r="M4" s="40" t="str">
        <x:v>Difference</x:v>
      </x:c>
      <x:c r="O4" s="27" t="str">
        <x:v>Time coefficient</x:v>
      </x:c>
      <x:c r="P4" s="27" t="str">
        <x:v>Value</x:v>
      </x:c>
      <x:c r="Q4" s="27" t="str">
        <x:v>Term</x:v>
      </x:c>
    </x:row>
    <x:row r="5">
      <x:c r="A5" s="37" t="n">
        <x:v>0</x:v>
      </x:c>
      <x:c r="B5" s="41" t="n">
        <x:v>0</x:v>
      </x:c>
      <x:c r="C5" s="41" t="n">
        <x:f>MAX(0,MIN($B$2,$G$5+$G$6*A5+$G$7*A5^2+$G$8*A5^3+$G$9*A5^4+$G$10*A5^5+$G$11*A5^6))</x:f>
        <x:v>0</x:v>
      </x:c>
      <x:c r="D5" s="41" t="n">
        <x:f>C5-B5</x:f>
        <x:v>0</x:v>
      </x:c>
      <x:c r="F5" s="44" t="str">
        <x:v>a0</x:v>
      </x:c>
      <x:c r="G5" s="45" t="n">
        <x:v>-0.06993007</x:v>
      </x:c>
      <x:c r="H5" s="46" t="str">
        <x:v>constant</x:v>
      </x:c>
      <x:c r="J5" s="53" t="n">
        <x:v>1</x:v>
      </x:c>
      <x:c r="K5" s="41" t="n">
        <x:v>50</x:v>
      </x:c>
      <x:c r="L5" s="41" t="n">
        <x:f>MAX(0,MIN($K$2,$P$5+$P$6*J5+$P$7*J5^2+$P$8*J5^3+$P$9*J5^4))</x:f>
        <x:v>49.94275300000001</x:v>
      </x:c>
      <x:c r="M5" s="41" t="n">
        <x:f>IF(K5="","",L5-K5)</x:f>
        <x:v>-0.05724699999998961</x:v>
      </x:c>
      <x:c r="O5" s="44" t="str">
        <x:v>b0</x:v>
      </x:c>
      <x:c r="P5" s="45" t="n">
        <x:v>54.469281</x:v>
      </x:c>
      <x:c r="Q5" s="46" t="str">
        <x:v>constant</x:v>
      </x:c>
    </x:row>
    <x:row r="6">
      <x:c r="A6" s="38" t="n">
        <x:v>0.1</x:v>
      </x:c>
      <x:c r="B6" s="42" t="n">
        <x:v>10</x:v>
      </x:c>
      <x:c r="C6" s="42" t="n">
        <x:f>MAX(0,MIN($B$2,$G$5+$G$6*A6+$G$7*A6^2+$G$8*A6^3+$G$9*A6^4+$G$10*A6^5+$G$11*A6^6))</x:f>
        <x:v>10.227272730879001</x:v>
      </x:c>
      <x:c r="D6" s="42" t="n">
        <x:f>C6-B6</x:f>
        <x:v>0.22727273087900102</x:v>
      </x:c>
      <x:c r="F6" s="47" t="str">
        <x:v>a1</x:v>
      </x:c>
      <x:c r="G6" s="48" t="n">
        <x:v>216.7948718</x:v>
      </x:c>
      <x:c r="H6" s="49" t="str">
        <x:v>x</x:v>
      </x:c>
      <x:c r="J6" s="54" t="n">
        <x:v>2</x:v>
      </x:c>
      <x:c r="K6" s="42" t="n">
        <x:v>45</x:v>
      </x:c>
      <x:c r="L6" s="42" t="n">
        <x:f>MAX(0,MIN($K$2,$P$5+$P$6*J6+$P$7*J6^2+$P$8*J6^3+$P$9*J6^4))</x:f>
        <x:v>45.045775</x:v>
      </x:c>
      <x:c r="M6" s="42" t="n">
        <x:f>IF(K6="","",L6-K6)</x:f>
        <x:v>0.04577499999999901</x:v>
      </x:c>
      <x:c r="O6" s="47" t="str">
        <x:v>b1</x:v>
      </x:c>
      <x:c r="P6" s="48" t="n">
        <x:v>-4.235333</x:v>
      </x:c>
      <x:c r="Q6" s="49" t="str">
        <x:v>days</x:v>
      </x:c>
    </x:row>
    <x:row r="7">
      <x:c r="A7" s="38" t="n">
        <x:v>0.2</x:v>
      </x:c>
      <x:c r="B7" s="42" t="n">
        <x:v>20</x:v>
      </x:c>
      <x:c r="C7" s="42" t="n">
        <x:f>MAX(0,MIN($B$2,$G$5+$G$6*A7+$G$7*A7^2+$G$8*A7^3+$G$9*A7^4+$G$10*A7^5+$G$11*A7^6))</x:f>
        <x:v>20.05244755905601</x:v>
      </x:c>
      <x:c r="D7" s="42" t="n">
        <x:f>C7-B7</x:f>
        <x:v>0.052447559056009396</x:v>
      </x:c>
      <x:c r="F7" s="47" t="str">
        <x:v>a2</x:v>
      </x:c>
      <x:c r="G7" s="48" t="n">
        <x:v>-1968.244949</x:v>
      </x:c>
      <x:c r="H7" s="49" t="str">
        <x:v>x^2</x:v>
      </x:c>
      <x:c r="J7" s="54" t="n">
        <x:v>3</x:v>
      </x:c>
      <x:c r="K7" s="42" t="n">
        <x:v>40</x:v>
      </x:c>
      <x:c r="L7" s="42" t="n">
        <x:f>MAX(0,MIN($K$2,$P$5+$P$6*J7+$P$7*J7^2+$P$8*J7^3+$P$9*J7^4))</x:f>
        <x:v>40.06027500000001</x:v>
      </x:c>
      <x:c r="M7" s="42" t="n">
        <x:f>IF(K7="","",L7-K7)</x:f>
        <x:v>0.0602750000000114</x:v>
      </x:c>
      <x:c r="O7" s="47" t="str">
        <x:v>b2</x:v>
      </x:c>
      <x:c r="P7" s="48" t="n">
        <x:v>-0.348178</x:v>
      </x:c>
      <x:c r="Q7" s="49" t="str">
        <x:v>days^2</x:v>
      </x:c>
    </x:row>
    <x:row r="8">
      <x:c r="A8" s="38" t="n">
        <x:v>0.3</x:v>
      </x:c>
      <x:c r="B8" s="42" t="n">
        <x:v>45</x:v>
      </x:c>
      <x:c r="C8" s="42" t="n">
        <x:f>MAX(0,MIN($B$2,$G$5+$G$6*A8+$G$7*A8^2+$G$8*A8^3+$G$9*A8^4+$G$10*A8^5+$G$11*A8^6))</x:f>
        <x:v>44.055944052190966</x:v>
      </x:c>
      <x:c r="D8" s="42" t="n">
        <x:f>C8-B8</x:f>
        <x:v>-0.9440559478090336</x:v>
      </x:c>
      <x:c r="F8" s="47" t="str">
        <x:v>a3</x:v>
      </x:c>
      <x:c r="G8" s="48" t="n">
        <x:v>9897.654427</x:v>
      </x:c>
      <x:c r="H8" s="49" t="str">
        <x:v>x^3</x:v>
      </x:c>
      <x:c r="J8" s="54" t="n">
        <x:v>4</x:v>
      </x:c>
      <x:c r="K8" s="42" t="n">
        <x:v>35</x:v>
      </x:c>
      <x:c r="L8" s="42" t="n">
        <x:f>MAX(0,MIN($K$2,$P$5+$P$6*J8+$P$7*J8^2+$P$8*J8^3+$P$9*J8^4))</x:f>
        <x:v>35.22020500000001</x:v>
      </x:c>
      <x:c r="M8" s="42" t="n">
        <x:f>IF(K8="","",L8-K8)</x:f>
        <x:v>0.2202050000000071</x:v>
      </x:c>
      <x:c r="O8" s="47" t="str">
        <x:v>b3</x:v>
      </x:c>
      <x:c r="P8" s="48" t="n">
        <x:v>0.058982</x:v>
      </x:c>
      <x:c r="Q8" s="49" t="str">
        <x:v>days^3</x:v>
      </x:c>
    </x:row>
    <x:row r="9">
      <x:c r="A9" s="38" t="n">
        <x:v>0.4</x:v>
      </x:c>
      <x:c r="B9" s="42" t="n">
        <x:v>80</x:v>
      </x:c>
      <x:c r="C9" s="42" t="n">
        <x:f>MAX(0,MIN($B$2,$G$5+$G$6*A9+$G$7*A9^2+$G$8*A9^3+$G$9*A9^4+$G$10*A9^5+$G$11*A9^6))</x:f>
        <x:v>80.73426568718412</x:v>
      </x:c>
      <x:c r="D9" s="42" t="n">
        <x:f>C9-B9</x:f>
        <x:v>0.73426568718412</x:v>
      </x:c>
      <x:c r="F9" s="47" t="str">
        <x:v>a4</x:v>
      </x:c>
      <x:c r="G9" s="48" t="n">
        <x:v>-17214.2094</x:v>
      </x:c>
      <x:c r="H9" s="49" t="str">
        <x:v>x^4</x:v>
      </x:c>
      <x:c r="J9" s="54" t="n">
        <x:v>5</x:v>
      </x:c>
      <x:c r="K9" s="42" t="n">
        <x:v>31</x:v>
      </x:c>
      <x:c r="L9" s="42" t="n">
        <x:f>MAX(0,MIN($K$2,$P$5+$P$6*J9+$P$7*J9^2+$P$8*J9^3+$P$9*J9^4))</x:f>
        <x:v>30.711541</x:v>
      </x:c>
      <x:c r="M9" s="42" t="n">
        <x:f>IF(K9="","",L9-K9)</x:f>
        <x:v>-0.2884589999999996</x:v>
      </x:c>
      <x:c r="O9" s="50" t="str">
        <x:v>b4</x:v>
      </x:c>
      <x:c r="P9" s="51" t="n">
        <x:v>-0.001999</x:v>
      </x:c>
      <x:c r="Q9" s="52" t="str">
        <x:v>days^4</x:v>
      </x:c>
    </x:row>
    <x:row r="10">
      <x:c r="A10" s="38" t="n">
        <x:v>0.5</x:v>
      </x:c>
      <x:c r="B10" s="42" t="n">
        <x:v>120</x:v>
      </x:c>
      <x:c r="C10" s="42" t="n">
        <x:f>MAX(0,MIN($B$2,$G$5+$G$6*A10+$G$7*A10^2+$G$8*A10^3+$G$9*A10^4+$G$10*A10^5+$G$11*A10^6))</x:f>
        <x:v>121.46853131437501</x:v>
      </x:c>
      <x:c r="D10" s="42" t="n">
        <x:f>C10-B10</x:f>
        <x:v>1.4685313143750136</x:v>
      </x:c>
      <x:c r="F10" s="47" t="str">
        <x:v>a5</x:v>
      </x:c>
      <x:c r="G10" s="48" t="n">
        <x:v>12740.38461</x:v>
      </x:c>
      <x:c r="H10" s="49" t="str">
        <x:v>x^5</x:v>
      </x:c>
      <x:c r="J10" s="54" t="n">
        <x:v>6</x:v>
      </x:c>
      <x:c r="K10" s="42" t="n">
        <x:v>27</x:v>
      </x:c>
      <x:c r="L10" s="42" t="n">
        <x:f>MAX(0,MIN($K$2,$P$5+$P$6*J10+$P$7*J10^2+$P$8*J10^3+$P$9*J10^4))</x:f>
        <x:v>26.672283000000007</x:v>
      </x:c>
      <x:c r="M10" s="42" t="n">
        <x:f>IF(K10="","",L10-K10)</x:f>
        <x:v>-0.3277169999999927</x:v>
      </x:c>
    </x:row>
    <x:row r="11">
      <x:c r="A11" s="38" t="n">
        <x:v>0.6</x:v>
      </x:c>
      <x:c r="B11" s="42" t="n">
        <x:v>160</x:v>
      </x:c>
      <x:c r="C11" s="42" t="n">
        <x:f>MAX(0,MIN($B$2,$G$5+$G$6*A11+$G$7*A11^2+$G$8*A11^3+$G$9*A11^4+$G$10*A11^5+$G$11*A11^6))</x:f>
        <x:v>157.06293669262354</x:v>
      </x:c>
      <x:c r="D11" s="42" t="n">
        <x:f>C11-B11</x:f>
        <x:v>-2.9370633073764623</x:v>
      </x:c>
      <x:c r="F11" s="47" t="str">
        <x:v>a6</x:v>
      </x:c>
      <x:c r="G11" s="48" t="n">
        <x:v>-3472.222221</x:v>
      </x:c>
      <x:c r="H11" s="49" t="str">
        <x:v>x^6</x:v>
      </x:c>
      <x:c r="J11" s="54" t="n">
        <x:v>7</x:v>
      </x:c>
      <x:c r="K11" s="42" t="n">
        <x:v>23</x:v>
      </x:c>
      <x:c r="L11" s="42" t="n">
        <x:f>MAX(0,MIN($K$2,$P$5+$P$6*J11+$P$7*J11^2+$P$8*J11^3+$P$9*J11^4))</x:f>
        <x:v>23.192455000000006</x:v>
      </x:c>
      <x:c r="M11" s="42" t="n">
        <x:f>IF(K11="","",L11-K11)</x:f>
        <x:v>0.19245500000000604</x:v>
      </x:c>
    </x:row>
    <x:row r="12">
      <x:c r="A12" s="38" t="n">
        <x:v>0.7</x:v>
      </x:c>
      <x:c r="B12" s="42" t="n">
        <x:v>180</x:v>
      </x:c>
      <x:c r="C12" s="42" t="n">
        <x:f>MAX(0,MIN($B$2,$G$5+$G$6*A12+$G$7*A12^2+$G$8*A12^3+$G$9*A12^4+$G$10*A12^5+$G$11*A12^6))</x:f>
        <x:v>181.78321602527052</x:v>
      </x:c>
      <x:c r="D12" s="42" t="n">
        <x:f>C12-B12</x:f>
        <x:v>1.7832160252705194</x:v>
      </x:c>
      <x:c r="F12" s="50" t="str"/>
      <x:c r="G12" s="51"/>
      <x:c r="H12" s="52" t="str"/>
      <x:c r="J12" s="54" t="n">
        <x:v>8</x:v>
      </x:c>
      <x:c r="K12" s="42" t="n">
        <x:v>20</x:v>
      </x:c>
      <x:c r="L12" s="42" t="n">
        <x:f>MAX(0,MIN($K$2,$P$5+$P$6*J12+$P$7*J12^2+$P$8*J12^3+$P$9*J12^4))</x:f>
        <x:v>20.314105000000005</x:v>
      </x:c>
      <x:c r="M12" s="42" t="n">
        <x:f>IF(K12="","",L12-K12)</x:f>
        <x:v>0.31410500000000496</x:v>
      </x:c>
    </x:row>
    <x:row r="13">
      <x:c r="A13" s="38" t="n">
        <x:v>0.8</x:v>
      </x:c>
      <x:c r="B13" s="42" t="n">
        <x:v>195</x:v>
      </x:c>
      <x:c r="C13" s="42" t="n">
        <x:f>MAX(0,MIN($B$2,$G$5+$G$6*A13+$G$7*A13^2+$G$8*A13^3+$G$9*A13^4+$G$10*A13^5+$G$11*A13^6))</x:f>
        <x:v>194.8951034969765</x:v>
      </x:c>
      <x:c r="D13" s="42" t="n">
        <x:f>C13-B13</x:f>
        <x:v>-0.10489650302349673</x:v>
      </x:c>
      <x:c r="J13" s="54" t="n">
        <x:v>9</x:v>
      </x:c>
      <x:c r="K13" s="42" t="n">
        <x:v>18</x:v>
      </x:c>
      <x:c r="L13" s="42" t="n">
        <x:f>MAX(0,MIN($K$2,$P$5+$P$6*J13+$P$7*J13^2+$P$8*J13^3+$P$9*J13^4))</x:f>
        <x:v>18.03130500000001</x:v>
      </x:c>
      <x:c r="M13" s="42" t="n">
        <x:f>IF(K13="","",L13-K13)</x:f>
        <x:v>0.03130500000001035</x:v>
      </x:c>
    </x:row>
    <x:row r="14">
      <x:c r="A14" s="38" t="n">
        <x:v>0.9</x:v>
      </x:c>
      <x:c r="B14" s="42" t="n">
        <x:v>200</x:v>
      </x:c>
      <x:c r="C14" s="42" t="n">
        <x:f>MAX(0,MIN($B$2,$G$5+$G$6*A14+$G$7*A14^2+$G$8*A14^3+$G$9*A14^4+$G$10*A14^5+$G$11*A14^6))</x:f>
        <x:v>199.70279481143962</x:v>
      </x:c>
      <x:c r="D14" s="42" t="n">
        <x:f>C14-B14</x:f>
        <x:v>-0.29720518856038325</x:v>
      </x:c>
      <x:c r="J14" s="54" t="n">
        <x:v>10</x:v>
      </x:c>
      <x:c r="K14" s="42" t="n">
        <x:v>16.5</x:v>
      </x:c>
      <x:c r="L14" s="42" t="n">
        <x:f>MAX(0,MIN($K$2,$P$5+$P$6*J14+$P$7*J14^2+$P$8*J14^3+$P$9*J14^4))</x:f>
        <x:v>16.290151000000005</x:v>
      </x:c>
      <x:c r="M14" s="42" t="n">
        <x:f>IF(K14="","",L14-K14)</x:f>
        <x:v>-0.20984899999999485</x:v>
      </x:c>
    </x:row>
    <x:row r="15">
      <x:c r="A15" s="39" t="n">
        <x:v>1</x:v>
      </x:c>
      <x:c r="B15" s="43" t="n">
        <x:v>200</x:v>
      </x:c>
      <x:c r="C15" s="43" t="n">
        <x:f>MAX(0,MIN($B$2,$G$5+$G$6*A15+$G$7*A15^2+$G$8*A15^3+$G$9*A15^4+$G$10*A15^5+$G$11*A15^6))</x:f>
        <x:v>200</x:v>
      </x:c>
      <x:c r="D15" s="43" t="n">
        <x:f>C15-B15</x:f>
        <x:v>0</x:v>
      </x:c>
      <x:c r="J15" s="54" t="n">
        <x:v>11</x:v>
      </x:c>
      <x:c r="K15" s="42" t="n">
        <x:v>15</x:v>
      </x:c>
      <x:c r="L15" s="42" t="n">
        <x:f>MAX(0,MIN($K$2,$P$5+$P$6*J15+$P$7*J15^2+$P$8*J15^3+$P$9*J15^4))</x:f>
        <x:v>14.988763000000013</x:v>
      </x:c>
      <x:c r="M15" s="42" t="n">
        <x:f>IF(K15="","",L15-K15)</x:f>
        <x:v>-0.011236999999987063</x:v>
      </x:c>
    </x:row>
    <x:row r="16">
      <x:c r="J16" s="54" t="n">
        <x:v>12</x:v>
      </x:c>
      <x:c r="K16" s="42" t="n">
        <x:v>14</x:v>
      </x:c>
      <x:c r="L16" s="42" t="n">
        <x:f>MAX(0,MIN($K$2,$P$5+$P$6*J16+$P$7*J16^2+$P$8*J16^3+$P$9*J16^4))</x:f>
        <x:v>13.977285000000016</x:v>
      </x:c>
      <x:c r="M16" s="42" t="n">
        <x:f>IF(K16="","",L16-K16)</x:f>
        <x:v>-0.02271499999998383</x:v>
      </x:c>
    </x:row>
    <x:row r="17">
      <x:c r="J17" s="54" t="n">
        <x:v>13</x:v>
      </x:c>
      <x:c r="K17" s="42" t="n">
        <x:v>13</x:v>
      </x:c>
      <x:c r="L17" s="42" t="n">
        <x:f>MAX(0,MIN($K$2,$P$5+$P$6*J17+$P$7*J17^2+$P$8*J17^3+$P$9*J17^4))</x:f>
        <x:v>13.057884999999992</x:v>
      </x:c>
      <x:c r="M17" s="42" t="n">
        <x:f>IF(K17="","",L17-K17)</x:f>
        <x:v>0.05788499999999175</x:v>
      </x:c>
    </x:row>
    <x:row r="18">
      <x:c r="J18" s="54" t="n">
        <x:v>14</x:v>
      </x:c>
      <x:c r="K18" s="42" t="n">
        <x:v>12</x:v>
      </x:c>
      <x:c r="L18" s="42" t="n">
        <x:f>MAX(0,MIN($K$2,$P$5+$P$6*J18+$P$7*J18^2+$P$8*J18^3+$P$9*J18^4))</x:f>
        <x:v>11.984755000000021</x:v>
      </x:c>
      <x:c r="M18" s="42" t="n">
        <x:f>IF(K18="","",L18-K18)</x:f>
        <x:v>-0.015244999999978859</x:v>
      </x:c>
    </x:row>
    <x:row r="19">
      <x:c r="J19" s="54" t="n">
        <x:v>15</x:v>
      </x:c>
      <x:c r="K19" s="42"/>
      <x:c r="L19" s="42" t="n">
        <x:f>MAX(0,MIN($K$2,$P$5+$P$6*J19+$P$7*J19^2+$P$8*J19^3+$P$9*J19^4))</x:f>
        <x:v>10.464111000000017</x:v>
      </x:c>
      <x:c r="M19" s="42" t="str">
        <x:f>IF(K19="","",L19-K19)</x:f>
      </x:c>
    </x:row>
    <x:row r="20">
      <x:c r="J20" s="54" t="n">
        <x:v>16</x:v>
      </x:c>
      <x:c r="K20" s="42"/>
      <x:c r="L20" s="42" t="n">
        <x:f>MAX(0,MIN($K$2,$P$5+$P$6*J20+$P$7*J20^2+$P$8*J20^3+$P$9*J20^4))</x:f>
        <x:v>8.15419300000002</x:v>
      </x:c>
      <x:c r="M20" s="42" t="str">
        <x:f>IF(K20="","",L20-K20)</x:f>
      </x:c>
    </x:row>
    <x:row r="21">
      <x:c r="J21" s="54" t="n">
        <x:v>17</x:v>
      </x:c>
      <x:c r="K21" s="42"/>
      <x:c r="L21" s="42" t="n">
        <x:f>MAX(0,MIN($K$2,$P$5+$P$6*J21+$P$7*J21^2+$P$8*J21^3+$P$9*J21^4))</x:f>
        <x:v>4.6652650000000335</x:v>
      </x:c>
      <x:c r="M21" s="42" t="str">
        <x:f>IF(K21="","",L21-K21)</x:f>
      </x:c>
    </x:row>
    <x:row r="22">
      <x:c r="J22" s="54" t="n">
        <x:v>18</x:v>
      </x:c>
      <x:c r="K22" s="42"/>
      <x:c r="L22" s="42" t="n">
        <x:f>MAX(0,MIN($K$2,$P$5+$P$6*J22+$P$7*J22^2+$P$8*J22^3+$P$9*J22^4))</x:f>
        <x:v>0</x:v>
      </x:c>
      <x:c r="M22" s="42" t="str">
        <x:f>IF(K22="","",L22-K22)</x:f>
      </x:c>
    </x:row>
    <x:row r="23">
      <x:c r="J23" s="54" t="n">
        <x:v>19</x:v>
      </x:c>
      <x:c r="K23" s="42"/>
      <x:c r="L23" s="42" t="n">
        <x:f>MAX(0,MIN($K$2,$P$5+$P$6*J23+$P$7*J23^2+$P$8*J23^3+$P$9*J23^4))</x:f>
        <x:v>0</x:v>
      </x:c>
      <x:c r="M23" s="42" t="str">
        <x:f>IF(K23="","",L23-K23)</x:f>
      </x:c>
    </x:row>
    <x:row r="24">
      <x:c r="J24" s="55" t="n">
        <x:v>20</x:v>
      </x:c>
      <x:c r="K24" s="43"/>
      <x:c r="L24" s="43" t="n">
        <x:f>MAX(0,MIN($K$2,$P$5+$P$6*J24+$P$7*J24^2+$P$8*J24^3+$P$9*J24^4))</x:f>
        <x:v>0</x:v>
      </x:c>
      <x:c r="M24" s="43" t="str">
        <x:f>IF(K24="","",L24-K24)</x:f>
      </x:c>
    </x:row>
  </x:sheetData>
  <x:mergeCells>
    <x:mergeCell ref="A1:D1"/>
    <x:mergeCell ref="J1:M1"/>
  </x:mergeCells>
  <x:conditionalFormatting sqref="D5:D15">
    <x:cfRule type="colorScale" priority="1">
      <x:colorScale>
        <x:cfvo type="min"/>
        <x:cfvo type="percentile" val="50"/>
        <x:cfvo type="max"/>
        <x:color rgb="FFDBEAFE"/>
        <x:color rgb="FFF8FAFC"/>
        <x:color rgb="FFFEE2E2"/>
      </x:colorScale>
    </x:cfRule>
  </x:conditionalFormatting>
  <x:conditionalFormatting sqref="M5:M18">
    <x:cfRule type="colorScale" priority="2">
      <x:colorScale>
        <x:cfvo type="min"/>
        <x:cfvo type="percentile" val="50"/>
        <x:cfvo type="max"/>
        <x:color rgb="FFDBEAFE"/>
        <x:color rgb="FFF8FAFC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ab79a983d8f44c94"/>
</x:worksheet>
</file>